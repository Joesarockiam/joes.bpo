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9495" windowHeight="4635" activeTab="1"/>
  </bookViews>
  <sheets>
    <sheet name="Cost Sheet 1" sheetId="1" r:id="rId1"/>
    <sheet name="Cost Sheet 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7" i="2"/>
  <c r="B23"/>
  <c r="B8" i="1"/>
  <c r="B36"/>
  <c r="B31"/>
  <c r="B33" s="1"/>
  <c r="B24" i="2"/>
  <c r="B12"/>
  <c r="B7"/>
  <c r="F22"/>
  <c r="B17"/>
  <c r="B2"/>
  <c r="B4" s="1"/>
  <c r="B24" i="1"/>
  <c r="B14"/>
  <c r="B11"/>
  <c r="B9" i="2" l="1"/>
  <c r="B14" s="1"/>
  <c r="B18" s="1"/>
  <c r="B19" s="1"/>
  <c r="B21" s="1"/>
  <c r="B26" s="1"/>
  <c r="B28" s="1"/>
  <c r="B30" s="1"/>
  <c r="B16" i="1"/>
  <c r="B26" s="1"/>
</calcChain>
</file>

<file path=xl/sharedStrings.xml><?xml version="1.0" encoding="utf-8"?>
<sst xmlns="http://schemas.openxmlformats.org/spreadsheetml/2006/main" count="52" uniqueCount="48">
  <si>
    <t>COST SHEET</t>
  </si>
  <si>
    <t>Opening stock of raw material</t>
  </si>
  <si>
    <t>purchase of raw material</t>
  </si>
  <si>
    <t xml:space="preserve">Raw material returned to supllier </t>
  </si>
  <si>
    <t>closing stock of raw material</t>
  </si>
  <si>
    <t>Wages paid to productive workers</t>
  </si>
  <si>
    <t>Wages paid to non productive workers</t>
  </si>
  <si>
    <t>Saliers paid to office staff</t>
  </si>
  <si>
    <t>Carriage on raw materials purchased</t>
  </si>
  <si>
    <t>carriee on goods sold</t>
  </si>
  <si>
    <t>Rent and rates off workshop</t>
  </si>
  <si>
    <t>fuel,gas and water ect</t>
  </si>
  <si>
    <t>Repairs to plant</t>
  </si>
  <si>
    <t>depreciation on machinery</t>
  </si>
  <si>
    <t>office expense</t>
  </si>
  <si>
    <t xml:space="preserve">direct chargeable expense </t>
  </si>
  <si>
    <t>advertising</t>
  </si>
  <si>
    <t>Abnormal loss of raw materials</t>
  </si>
  <si>
    <t>Materials</t>
  </si>
  <si>
    <t>Basic raw materials</t>
  </si>
  <si>
    <t>Stores</t>
  </si>
  <si>
    <t>labor</t>
  </si>
  <si>
    <t>Direct</t>
  </si>
  <si>
    <t>Indirect</t>
  </si>
  <si>
    <t>Overheads</t>
  </si>
  <si>
    <t>works</t>
  </si>
  <si>
    <t>office</t>
  </si>
  <si>
    <t>Production for month of november</t>
  </si>
  <si>
    <t>sales for a month</t>
  </si>
  <si>
    <t>Stock at beginning of the month</t>
  </si>
  <si>
    <t>Stock at end of the month</t>
  </si>
  <si>
    <t>Direct material</t>
  </si>
  <si>
    <t>Direct wages</t>
  </si>
  <si>
    <t>direct Expense</t>
  </si>
  <si>
    <t>PRIME COST</t>
  </si>
  <si>
    <t>Indirect expense</t>
  </si>
  <si>
    <t>Factory cost</t>
  </si>
  <si>
    <t>Office overheads</t>
  </si>
  <si>
    <t>Cost of production</t>
  </si>
  <si>
    <t>Prime cost</t>
  </si>
  <si>
    <t>Work cost</t>
  </si>
  <si>
    <t>Office and administrative overheads</t>
  </si>
  <si>
    <t>s</t>
  </si>
  <si>
    <t>Cost of sales</t>
  </si>
  <si>
    <t>Profit</t>
  </si>
  <si>
    <t>Sales</t>
  </si>
  <si>
    <t>Total cost</t>
  </si>
  <si>
    <t>Cost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</si>
</sst>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opLeftCell="A9" zoomScale="85" zoomScaleNormal="85" workbookViewId="0">
      <selection activeCell="A37" sqref="A37"/>
    </sheetView>
  </sheetViews>
  <sheetFormatPr defaultRowHeight="15"/>
  <cols>
    <col min="1" max="1" width="35.7109375" bestFit="1" customWidth="1"/>
  </cols>
  <sheetData>
    <row r="1" spans="1:2">
      <c r="A1" s="6" t="s">
        <v>47</v>
      </c>
      <c r="B1" s="6"/>
    </row>
    <row r="2" spans="1:2">
      <c r="A2" s="4" t="s">
        <v>0</v>
      </c>
      <c r="B2" s="4"/>
    </row>
    <row r="3" spans="1:2">
      <c r="A3" s="2" t="s">
        <v>1</v>
      </c>
      <c r="B3" s="2">
        <v>25000</v>
      </c>
    </row>
    <row r="4" spans="1:2">
      <c r="A4" s="2" t="s">
        <v>2</v>
      </c>
      <c r="B4" s="2">
        <v>70000</v>
      </c>
    </row>
    <row r="5" spans="1:2">
      <c r="A5" s="2" t="s">
        <v>3</v>
      </c>
      <c r="B5" s="2">
        <v>2000</v>
      </c>
    </row>
    <row r="6" spans="1:2">
      <c r="A6" s="2" t="s">
        <v>8</v>
      </c>
      <c r="B6" s="2">
        <v>500</v>
      </c>
    </row>
    <row r="7" spans="1:2">
      <c r="A7" s="2" t="s">
        <v>4</v>
      </c>
      <c r="B7" s="2">
        <v>18800</v>
      </c>
    </row>
    <row r="8" spans="1:2">
      <c r="A8" s="1" t="s">
        <v>31</v>
      </c>
      <c r="B8" s="1">
        <f>B3+B4-B5-B7+B6</f>
        <v>74700</v>
      </c>
    </row>
    <row r="9" spans="1:2">
      <c r="A9" s="2"/>
      <c r="B9" s="2"/>
    </row>
    <row r="10" spans="1:2">
      <c r="A10" s="2" t="s">
        <v>5</v>
      </c>
      <c r="B10" s="2">
        <v>18000</v>
      </c>
    </row>
    <row r="11" spans="1:2">
      <c r="A11" s="1" t="s">
        <v>32</v>
      </c>
      <c r="B11" s="1">
        <f>B10</f>
        <v>18000</v>
      </c>
    </row>
    <row r="12" spans="1:2">
      <c r="A12" s="2"/>
      <c r="B12" s="2"/>
    </row>
    <row r="13" spans="1:2">
      <c r="A13" s="2" t="s">
        <v>15</v>
      </c>
      <c r="B13" s="2">
        <v>800</v>
      </c>
    </row>
    <row r="14" spans="1:2">
      <c r="A14" s="1" t="s">
        <v>33</v>
      </c>
      <c r="B14" s="1">
        <f>B13</f>
        <v>800</v>
      </c>
    </row>
    <row r="15" spans="1:2">
      <c r="A15" s="2"/>
      <c r="B15" s="2"/>
    </row>
    <row r="16" spans="1:2">
      <c r="A16" s="3" t="s">
        <v>34</v>
      </c>
      <c r="B16" s="3">
        <f>B8+B11+B14</f>
        <v>93500</v>
      </c>
    </row>
    <row r="17" spans="1:5">
      <c r="A17" s="2"/>
      <c r="B17" s="2"/>
    </row>
    <row r="18" spans="1:5">
      <c r="A18" s="2" t="s">
        <v>6</v>
      </c>
      <c r="B18" s="2">
        <v>2000</v>
      </c>
    </row>
    <row r="19" spans="1:5">
      <c r="A19" s="2" t="s">
        <v>7</v>
      </c>
      <c r="B19" s="2">
        <v>5000</v>
      </c>
    </row>
    <row r="20" spans="1:5">
      <c r="A20" s="2" t="s">
        <v>9</v>
      </c>
      <c r="B20" s="2">
        <v>1500</v>
      </c>
    </row>
    <row r="21" spans="1:5">
      <c r="A21" s="2" t="s">
        <v>11</v>
      </c>
      <c r="B21" s="2">
        <v>1000</v>
      </c>
    </row>
    <row r="22" spans="1:5">
      <c r="A22" s="2" t="s">
        <v>12</v>
      </c>
      <c r="B22" s="2">
        <v>600</v>
      </c>
    </row>
    <row r="23" spans="1:5">
      <c r="A23" s="2" t="s">
        <v>16</v>
      </c>
      <c r="B23" s="2">
        <v>1200</v>
      </c>
    </row>
    <row r="24" spans="1:5">
      <c r="A24" s="1" t="s">
        <v>35</v>
      </c>
      <c r="B24" s="1">
        <f>SUM(B18:B23)</f>
        <v>11300</v>
      </c>
    </row>
    <row r="25" spans="1:5">
      <c r="A25" s="2"/>
      <c r="B25" s="2"/>
    </row>
    <row r="26" spans="1:5">
      <c r="A26" s="3" t="s">
        <v>36</v>
      </c>
      <c r="B26" s="3">
        <f>B24+B16</f>
        <v>104800</v>
      </c>
    </row>
    <row r="27" spans="1:5">
      <c r="A27" s="2"/>
      <c r="B27" s="2"/>
    </row>
    <row r="28" spans="1:5">
      <c r="A28" s="2" t="s">
        <v>10</v>
      </c>
      <c r="B28" s="2">
        <v>2500</v>
      </c>
    </row>
    <row r="29" spans="1:5">
      <c r="A29" s="2" t="s">
        <v>13</v>
      </c>
      <c r="B29" s="2">
        <v>1400</v>
      </c>
    </row>
    <row r="30" spans="1:5">
      <c r="A30" s="2" t="s">
        <v>14</v>
      </c>
      <c r="B30" s="2">
        <v>1500</v>
      </c>
    </row>
    <row r="31" spans="1:5">
      <c r="A31" s="1" t="s">
        <v>37</v>
      </c>
      <c r="B31" s="1">
        <f>B28-B29+B30</f>
        <v>2600</v>
      </c>
      <c r="E31" t="s">
        <v>42</v>
      </c>
    </row>
    <row r="32" spans="1:5">
      <c r="A32" s="2"/>
      <c r="B32" s="2"/>
    </row>
    <row r="33" spans="1:2">
      <c r="A33" s="3" t="s">
        <v>38</v>
      </c>
      <c r="B33" s="3">
        <f>B31+B26</f>
        <v>107400</v>
      </c>
    </row>
    <row r="34" spans="1:2">
      <c r="A34" s="2" t="s">
        <v>17</v>
      </c>
      <c r="B34" s="2">
        <v>1200</v>
      </c>
    </row>
    <row r="35" spans="1:2">
      <c r="A35" s="5"/>
      <c r="B35" s="5"/>
    </row>
    <row r="36" spans="1:2">
      <c r="A36" s="3" t="s">
        <v>46</v>
      </c>
      <c r="B36" s="3">
        <f>B33-B34</f>
        <v>106200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tabSelected="1" zoomScale="85" zoomScaleNormal="85" workbookViewId="0">
      <selection activeCell="E23" sqref="E23"/>
    </sheetView>
  </sheetViews>
  <sheetFormatPr defaultRowHeight="15"/>
  <cols>
    <col min="1" max="1" width="32.5703125" bestFit="1" customWidth="1"/>
    <col min="5" max="5" width="33.140625" bestFit="1" customWidth="1"/>
  </cols>
  <sheetData>
    <row r="1" spans="1:2">
      <c r="A1" s="2" t="s">
        <v>18</v>
      </c>
      <c r="B1" s="2"/>
    </row>
    <row r="2" spans="1:2">
      <c r="A2" s="2" t="s">
        <v>19</v>
      </c>
      <c r="B2" s="2">
        <f>1400*5</f>
        <v>7000</v>
      </c>
    </row>
    <row r="3" spans="1:2">
      <c r="A3" s="2" t="s">
        <v>20</v>
      </c>
      <c r="B3" s="2">
        <v>5000</v>
      </c>
    </row>
    <row r="4" spans="1:2">
      <c r="A4" s="1" t="s">
        <v>31</v>
      </c>
      <c r="B4" s="1">
        <f>B2+B3</f>
        <v>12000</v>
      </c>
    </row>
    <row r="5" spans="1:2">
      <c r="A5" s="2" t="s">
        <v>21</v>
      </c>
      <c r="B5" s="2"/>
    </row>
    <row r="6" spans="1:2">
      <c r="A6" s="2" t="s">
        <v>22</v>
      </c>
      <c r="B6" s="2">
        <v>16000</v>
      </c>
    </row>
    <row r="7" spans="1:2">
      <c r="A7" s="1" t="s">
        <v>32</v>
      </c>
      <c r="B7" s="1">
        <f>B6</f>
        <v>16000</v>
      </c>
    </row>
    <row r="8" spans="1:2">
      <c r="A8" s="2"/>
      <c r="B8" s="2"/>
    </row>
    <row r="9" spans="1:2">
      <c r="A9" s="3" t="s">
        <v>39</v>
      </c>
      <c r="B9" s="3">
        <f>B4+B7</f>
        <v>28000</v>
      </c>
    </row>
    <row r="10" spans="1:2">
      <c r="A10" s="2"/>
      <c r="B10" s="2"/>
    </row>
    <row r="11" spans="1:2">
      <c r="A11" s="2" t="s">
        <v>23</v>
      </c>
      <c r="B11" s="2">
        <v>3000</v>
      </c>
    </row>
    <row r="12" spans="1:2">
      <c r="A12" s="1" t="s">
        <v>35</v>
      </c>
      <c r="B12" s="1">
        <f>B11</f>
        <v>3000</v>
      </c>
    </row>
    <row r="13" spans="1:2">
      <c r="A13" s="2"/>
      <c r="B13" s="2"/>
    </row>
    <row r="14" spans="1:2">
      <c r="A14" s="3" t="s">
        <v>40</v>
      </c>
      <c r="B14" s="3">
        <f>B9+B12</f>
        <v>31000</v>
      </c>
    </row>
    <row r="15" spans="1:2">
      <c r="A15" s="2"/>
      <c r="B15" s="2"/>
    </row>
    <row r="16" spans="1:2">
      <c r="A16" s="2" t="s">
        <v>24</v>
      </c>
      <c r="B16" s="2"/>
    </row>
    <row r="17" spans="1:6">
      <c r="A17" s="2" t="s">
        <v>25</v>
      </c>
      <c r="B17" s="2">
        <f>(25/100)*B6</f>
        <v>4000</v>
      </c>
    </row>
    <row r="18" spans="1:6">
      <c r="A18" s="2" t="s">
        <v>26</v>
      </c>
      <c r="B18" s="2">
        <f>(10/100)*B14</f>
        <v>3100</v>
      </c>
    </row>
    <row r="19" spans="1:6">
      <c r="A19" s="1" t="s">
        <v>41</v>
      </c>
      <c r="B19" s="1">
        <f>B17+B18</f>
        <v>7100</v>
      </c>
    </row>
    <row r="20" spans="1:6">
      <c r="A20" s="2"/>
      <c r="B20" s="2"/>
    </row>
    <row r="21" spans="1:6">
      <c r="A21" s="3" t="s">
        <v>38</v>
      </c>
      <c r="B21" s="3">
        <f>B14+B19</f>
        <v>38100</v>
      </c>
    </row>
    <row r="22" spans="1:6">
      <c r="A22" s="2"/>
      <c r="B22" s="2"/>
      <c r="E22" s="2" t="s">
        <v>27</v>
      </c>
      <c r="F22" s="2">
        <f>1000000</f>
        <v>1000000</v>
      </c>
    </row>
    <row r="23" spans="1:6">
      <c r="A23" s="2" t="s">
        <v>29</v>
      </c>
      <c r="B23" s="2">
        <f>(200000/1000)*50</f>
        <v>10000</v>
      </c>
    </row>
    <row r="24" spans="1:6">
      <c r="A24" s="2" t="s">
        <v>30</v>
      </c>
      <c r="B24" s="2">
        <f>(300000/1000)*40</f>
        <v>12000</v>
      </c>
    </row>
    <row r="25" spans="1:6">
      <c r="A25" s="2"/>
      <c r="B25" s="2"/>
    </row>
    <row r="26" spans="1:6">
      <c r="A26" s="2" t="s">
        <v>43</v>
      </c>
      <c r="B26" s="2">
        <f>B21+B23-B24</f>
        <v>36100</v>
      </c>
    </row>
    <row r="27" spans="1:6">
      <c r="A27" s="2" t="s">
        <v>28</v>
      </c>
      <c r="B27" s="2">
        <f>(900000/1000)*50</f>
        <v>45000</v>
      </c>
    </row>
    <row r="28" spans="1:6">
      <c r="A28" s="1" t="s">
        <v>44</v>
      </c>
      <c r="B28" s="1">
        <f>B27-B26</f>
        <v>8900</v>
      </c>
    </row>
    <row r="29" spans="1:6">
      <c r="A29" s="2"/>
      <c r="B29" s="2"/>
    </row>
    <row r="30" spans="1:6">
      <c r="A30" s="3" t="s">
        <v>45</v>
      </c>
      <c r="B30" s="3">
        <f>B28+B26</f>
        <v>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Sheet 1</vt:lpstr>
      <vt:lpstr>Cost Sheet 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2023-04-02T07:17:45Z</dcterms:created>
  <dcterms:modified xsi:type="dcterms:W3CDTF">2023-04-03T07:14:12Z</dcterms:modified>
</cp:coreProperties>
</file>