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56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4" i="1"/>
  <c r="B6" s="1"/>
  <c r="B35"/>
  <c r="B19"/>
  <c r="B21" s="1"/>
  <c r="C45"/>
  <c r="B45"/>
  <c r="C46"/>
  <c r="C48" s="1"/>
  <c r="B46"/>
  <c r="B48" s="1"/>
  <c r="B31"/>
  <c r="B34" s="1"/>
  <c r="C19"/>
  <c r="C21" s="1"/>
  <c r="D19"/>
  <c r="D20" s="1"/>
  <c r="C47" l="1"/>
  <c r="C49" s="1"/>
  <c r="C20"/>
  <c r="B47"/>
  <c r="B49" s="1"/>
  <c r="B20"/>
  <c r="B22" s="1"/>
  <c r="C22"/>
  <c r="D21"/>
  <c r="D22" s="1"/>
</calcChain>
</file>

<file path=xl/sharedStrings.xml><?xml version="1.0" encoding="utf-8"?>
<sst xmlns="http://schemas.openxmlformats.org/spreadsheetml/2006/main" count="46" uniqueCount="37">
  <si>
    <t>Normal usage</t>
  </si>
  <si>
    <t>Minimum usage</t>
  </si>
  <si>
    <t>Maximum usage</t>
  </si>
  <si>
    <t xml:space="preserve">Reorder quantity </t>
  </si>
  <si>
    <t>A</t>
  </si>
  <si>
    <t>B</t>
  </si>
  <si>
    <t>C</t>
  </si>
  <si>
    <t>EOQ</t>
  </si>
  <si>
    <t>Demand</t>
  </si>
  <si>
    <t>order cost</t>
  </si>
  <si>
    <t>carrying cost</t>
  </si>
  <si>
    <t>Reorder level</t>
  </si>
  <si>
    <t>minimum level</t>
  </si>
  <si>
    <t>avg delivery time</t>
  </si>
  <si>
    <t>maximum level</t>
  </si>
  <si>
    <t>Reorder point(in month) max</t>
  </si>
  <si>
    <t>Reorder point(in month) min</t>
  </si>
  <si>
    <t>avg stock level</t>
  </si>
  <si>
    <t>max uasge</t>
  </si>
  <si>
    <t>min usage</t>
  </si>
  <si>
    <t>avg usage</t>
  </si>
  <si>
    <t>time lag(max)</t>
  </si>
  <si>
    <t>time lag(min)</t>
  </si>
  <si>
    <t>Reorder quantity</t>
  </si>
  <si>
    <t>danger stock level</t>
  </si>
  <si>
    <t>reorder level</t>
  </si>
  <si>
    <t>Maximum consumption per week</t>
  </si>
  <si>
    <t>average consumption per week</t>
  </si>
  <si>
    <t>Minimum Consumption per week</t>
  </si>
  <si>
    <t>Re order period</t>
  </si>
  <si>
    <t>Re-order quantity</t>
  </si>
  <si>
    <t>Re order period(min)</t>
  </si>
  <si>
    <t>Minimum level</t>
  </si>
  <si>
    <t>Average</t>
  </si>
  <si>
    <t>normlal delivery time</t>
  </si>
  <si>
    <t>Total demand</t>
  </si>
  <si>
    <t>Answer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</si>
</sst>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zoomScale="70" zoomScaleNormal="70" workbookViewId="0">
      <selection activeCell="H11" sqref="H11"/>
    </sheetView>
  </sheetViews>
  <sheetFormatPr defaultRowHeight="15"/>
  <cols>
    <col min="1" max="1" width="31.28515625" bestFit="1" customWidth="1"/>
  </cols>
  <sheetData>
    <row r="1" spans="1:4">
      <c r="A1" s="1" t="s">
        <v>8</v>
      </c>
      <c r="B1" s="1">
        <v>200</v>
      </c>
    </row>
    <row r="2" spans="1:4">
      <c r="A2" s="1" t="s">
        <v>9</v>
      </c>
      <c r="B2" s="1">
        <v>100</v>
      </c>
    </row>
    <row r="3" spans="1:4">
      <c r="A3" s="1" t="s">
        <v>10</v>
      </c>
      <c r="B3" s="1">
        <v>12</v>
      </c>
    </row>
    <row r="4" spans="1:4">
      <c r="A4" s="1" t="s">
        <v>35</v>
      </c>
      <c r="B4" s="1">
        <f>B1*B3</f>
        <v>2400</v>
      </c>
    </row>
    <row r="5" spans="1:4">
      <c r="A5" s="4" t="s">
        <v>36</v>
      </c>
      <c r="B5" s="4"/>
    </row>
    <row r="6" spans="1:4">
      <c r="A6" s="3" t="s">
        <v>7</v>
      </c>
      <c r="B6" s="3">
        <f>POWER((2*B4*B2)/B3,0.5)</f>
        <v>200</v>
      </c>
    </row>
    <row r="7" spans="1:4">
      <c r="A7" s="5"/>
      <c r="B7" s="5"/>
    </row>
    <row r="8" spans="1:4">
      <c r="A8" s="5"/>
      <c r="B8" s="5"/>
    </row>
    <row r="10" spans="1:4">
      <c r="A10" s="1"/>
      <c r="B10" s="1" t="s">
        <v>4</v>
      </c>
      <c r="C10" s="1" t="s">
        <v>5</v>
      </c>
      <c r="D10" s="1" t="s">
        <v>6</v>
      </c>
    </row>
    <row r="11" spans="1:4">
      <c r="A11" s="1" t="s">
        <v>0</v>
      </c>
      <c r="B11" s="1">
        <v>200</v>
      </c>
      <c r="C11" s="1">
        <v>150</v>
      </c>
      <c r="D11" s="1">
        <v>180</v>
      </c>
    </row>
    <row r="12" spans="1:4">
      <c r="A12" s="1" t="s">
        <v>1</v>
      </c>
      <c r="B12" s="1">
        <v>100</v>
      </c>
      <c r="C12" s="1">
        <v>100</v>
      </c>
      <c r="D12" s="1">
        <v>90</v>
      </c>
    </row>
    <row r="13" spans="1:4">
      <c r="A13" s="1" t="s">
        <v>2</v>
      </c>
      <c r="B13" s="1">
        <v>300</v>
      </c>
      <c r="C13" s="1">
        <v>250</v>
      </c>
      <c r="D13" s="1">
        <v>270</v>
      </c>
    </row>
    <row r="14" spans="1:4">
      <c r="A14" s="1" t="s">
        <v>3</v>
      </c>
      <c r="B14" s="1">
        <v>750</v>
      </c>
      <c r="C14" s="1">
        <v>900</v>
      </c>
      <c r="D14" s="1">
        <v>720</v>
      </c>
    </row>
    <row r="15" spans="1:4">
      <c r="A15" s="1" t="s">
        <v>15</v>
      </c>
      <c r="B15" s="2">
        <v>3</v>
      </c>
      <c r="C15" s="1">
        <v>4</v>
      </c>
      <c r="D15" s="1">
        <v>3</v>
      </c>
    </row>
    <row r="16" spans="1:4">
      <c r="A16" s="1" t="s">
        <v>16</v>
      </c>
      <c r="B16" s="1">
        <v>2</v>
      </c>
      <c r="C16" s="1">
        <v>3</v>
      </c>
      <c r="D16" s="1">
        <v>2</v>
      </c>
    </row>
    <row r="17" spans="1:4">
      <c r="A17" s="4" t="s">
        <v>36</v>
      </c>
      <c r="B17" s="4"/>
      <c r="C17" s="4"/>
      <c r="D17" s="4"/>
    </row>
    <row r="18" spans="1:4">
      <c r="A18" s="3" t="s">
        <v>13</v>
      </c>
      <c r="B18" s="3">
        <v>500</v>
      </c>
      <c r="C18" s="3">
        <v>525</v>
      </c>
      <c r="D18" s="3">
        <v>450</v>
      </c>
    </row>
    <row r="19" spans="1:4">
      <c r="A19" s="3" t="s">
        <v>11</v>
      </c>
      <c r="B19" s="3">
        <f>B15*B13</f>
        <v>900</v>
      </c>
      <c r="C19" s="3">
        <f>C15*C13</f>
        <v>1000</v>
      </c>
      <c r="D19" s="3">
        <f>D15*D13</f>
        <v>810</v>
      </c>
    </row>
    <row r="20" spans="1:4">
      <c r="A20" s="3" t="s">
        <v>12</v>
      </c>
      <c r="B20" s="3">
        <f>B19-B18</f>
        <v>400</v>
      </c>
      <c r="C20" s="6">
        <f t="shared" ref="C20:D20" si="0">C19-C18</f>
        <v>475</v>
      </c>
      <c r="D20" s="3">
        <f t="shared" si="0"/>
        <v>360</v>
      </c>
    </row>
    <row r="21" spans="1:4">
      <c r="A21" s="3" t="s">
        <v>14</v>
      </c>
      <c r="B21" s="3">
        <f>B19-(B12*B16)+B14</f>
        <v>1450</v>
      </c>
      <c r="C21" s="3">
        <f>C19-(C12*C16)+C14</f>
        <v>1600</v>
      </c>
      <c r="D21" s="3">
        <f>D19-(D12*D16)+D14</f>
        <v>1350</v>
      </c>
    </row>
    <row r="22" spans="1:4">
      <c r="A22" s="3" t="s">
        <v>17</v>
      </c>
      <c r="B22" s="3">
        <f>(B20+B21)/2</f>
        <v>925</v>
      </c>
      <c r="C22" s="3">
        <f t="shared" ref="C22:D22" si="1">(C20+C21)/2</f>
        <v>1037.5</v>
      </c>
      <c r="D22" s="3">
        <f t="shared" si="1"/>
        <v>855</v>
      </c>
    </row>
    <row r="25" spans="1:4">
      <c r="A25" s="1" t="s">
        <v>18</v>
      </c>
      <c r="B25" s="1">
        <v>600</v>
      </c>
    </row>
    <row r="26" spans="1:4">
      <c r="A26" s="1" t="s">
        <v>19</v>
      </c>
      <c r="B26" s="1">
        <v>400</v>
      </c>
    </row>
    <row r="27" spans="1:4">
      <c r="A27" s="1" t="s">
        <v>20</v>
      </c>
      <c r="B27" s="1">
        <v>450</v>
      </c>
    </row>
    <row r="28" spans="1:4">
      <c r="A28" s="1" t="s">
        <v>21</v>
      </c>
      <c r="B28" s="1">
        <v>4</v>
      </c>
    </row>
    <row r="29" spans="1:4">
      <c r="A29" s="1" t="s">
        <v>22</v>
      </c>
      <c r="B29" s="1">
        <v>2</v>
      </c>
    </row>
    <row r="30" spans="1:4">
      <c r="A30" s="1" t="s">
        <v>23</v>
      </c>
      <c r="B30" s="1">
        <v>1500</v>
      </c>
    </row>
    <row r="31" spans="1:4">
      <c r="A31" s="1" t="s">
        <v>25</v>
      </c>
      <c r="B31" s="1">
        <f>B25*B28</f>
        <v>2400</v>
      </c>
    </row>
    <row r="32" spans="1:4">
      <c r="A32" s="1" t="s">
        <v>12</v>
      </c>
      <c r="B32" s="1">
        <v>1050</v>
      </c>
    </row>
    <row r="33" spans="1:3">
      <c r="A33" s="4" t="s">
        <v>36</v>
      </c>
      <c r="B33" s="4"/>
    </row>
    <row r="34" spans="1:3">
      <c r="A34" s="3" t="s">
        <v>17</v>
      </c>
      <c r="B34" s="3">
        <f>AVERAGE(B32,B31)</f>
        <v>1725</v>
      </c>
    </row>
    <row r="35" spans="1:3">
      <c r="A35" s="3" t="s">
        <v>24</v>
      </c>
      <c r="B35" s="3">
        <f>B27*B29</f>
        <v>900</v>
      </c>
    </row>
    <row r="37" spans="1:3">
      <c r="A37" s="1"/>
      <c r="B37" s="1" t="s">
        <v>4</v>
      </c>
      <c r="C37" s="1" t="s">
        <v>5</v>
      </c>
    </row>
    <row r="38" spans="1:3">
      <c r="A38" s="1" t="s">
        <v>26</v>
      </c>
      <c r="B38" s="1">
        <v>150</v>
      </c>
      <c r="C38" s="1">
        <v>150</v>
      </c>
    </row>
    <row r="39" spans="1:3">
      <c r="A39" s="1" t="s">
        <v>27</v>
      </c>
      <c r="B39" s="1">
        <v>100</v>
      </c>
      <c r="C39" s="1">
        <v>100</v>
      </c>
    </row>
    <row r="40" spans="1:3">
      <c r="A40" s="1" t="s">
        <v>28</v>
      </c>
      <c r="B40" s="1">
        <v>50</v>
      </c>
      <c r="C40" s="1">
        <v>50</v>
      </c>
    </row>
    <row r="41" spans="1:3">
      <c r="A41" s="1" t="s">
        <v>31</v>
      </c>
      <c r="B41" s="1">
        <v>8</v>
      </c>
      <c r="C41" s="1">
        <v>4</v>
      </c>
    </row>
    <row r="42" spans="1:3">
      <c r="A42" s="1" t="s">
        <v>29</v>
      </c>
      <c r="B42" s="1">
        <v>12</v>
      </c>
      <c r="C42" s="1">
        <v>8</v>
      </c>
    </row>
    <row r="43" spans="1:3">
      <c r="A43" s="1" t="s">
        <v>30</v>
      </c>
      <c r="B43" s="1">
        <v>400</v>
      </c>
      <c r="C43" s="1">
        <v>600</v>
      </c>
    </row>
    <row r="44" spans="1:3">
      <c r="A44" s="4" t="s">
        <v>36</v>
      </c>
      <c r="B44" s="4"/>
      <c r="C44" s="4"/>
    </row>
    <row r="45" spans="1:3">
      <c r="A45" s="3" t="s">
        <v>34</v>
      </c>
      <c r="B45" s="3">
        <f>AVERAGE(B41,B42)</f>
        <v>10</v>
      </c>
      <c r="C45" s="3">
        <f>AVERAGE(C41,C42)</f>
        <v>6</v>
      </c>
    </row>
    <row r="46" spans="1:3">
      <c r="A46" s="3" t="s">
        <v>11</v>
      </c>
      <c r="B46" s="3">
        <f>B38*B42</f>
        <v>1800</v>
      </c>
      <c r="C46" s="3">
        <f>C38*C42</f>
        <v>1200</v>
      </c>
    </row>
    <row r="47" spans="1:3">
      <c r="A47" s="3" t="s">
        <v>32</v>
      </c>
      <c r="B47" s="3">
        <f>B46-(B39*B45)</f>
        <v>800</v>
      </c>
      <c r="C47" s="3">
        <f>C46-(C39*C45)</f>
        <v>600</v>
      </c>
    </row>
    <row r="48" spans="1:3">
      <c r="A48" s="3" t="s">
        <v>14</v>
      </c>
      <c r="B48" s="3">
        <f>B46+B43-(B40*B41)</f>
        <v>1800</v>
      </c>
      <c r="C48" s="3">
        <f>C46+C43-(C40*C41)</f>
        <v>1600</v>
      </c>
    </row>
    <row r="49" spans="1:3">
      <c r="A49" s="3" t="s">
        <v>33</v>
      </c>
      <c r="B49" s="3">
        <f>AVERAGE(B48,B47)</f>
        <v>1300</v>
      </c>
      <c r="C49" s="3">
        <f>AVERAGE(C48,C47)</f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" sqref="A1:B6"/>
    </sheetView>
  </sheetViews>
  <sheetFormatPr defaultRowHeight="15"/>
  <cols>
    <col min="1" max="1" width="13.28515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2023-03-29T22:33:25Z</dcterms:created>
  <dcterms:modified xsi:type="dcterms:W3CDTF">2023-04-03T02:03:06Z</dcterms:modified>
</cp:coreProperties>
</file>