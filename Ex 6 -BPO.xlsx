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c59b968ab4b51a5/Desktop/SEM- 4/7. Excel lab/"/>
    </mc:Choice>
  </mc:AlternateContent>
  <xr:revisionPtr revIDLastSave="5" documentId="13_ncr:1_{42630240-967C-4ECB-9402-958F61BDB65B}" xr6:coauthVersionLast="47" xr6:coauthVersionMax="47" xr10:uidLastSave="{1DCEFEA0-124B-41A5-AC19-EBFD221F3042}"/>
  <bookViews>
    <workbookView xWindow="-110" yWindow="-110" windowWidth="19420" windowHeight="10300" activeTab="2" xr2:uid="{98B5EA3E-E230-4E8E-BFC2-A656271ADE79}"/>
  </bookViews>
  <sheets>
    <sheet name="Data" sheetId="1" r:id="rId1"/>
    <sheet name="Calculations" sheetId="5" r:id="rId2"/>
    <sheet name="Forecast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5" l="1"/>
  <c r="C45" i="5"/>
  <c r="D45" i="5"/>
  <c r="E45" i="5"/>
  <c r="F45" i="5"/>
  <c r="G45" i="5"/>
  <c r="H45" i="5"/>
  <c r="I45" i="5"/>
  <c r="J45" i="5"/>
  <c r="K45" i="5"/>
  <c r="L45" i="5"/>
  <c r="M45" i="5"/>
  <c r="N45" i="5"/>
  <c r="B45" i="5"/>
  <c r="C43" i="5"/>
  <c r="D43" i="5"/>
  <c r="E43" i="5"/>
  <c r="F43" i="5"/>
  <c r="G43" i="5"/>
  <c r="H43" i="5"/>
  <c r="I43" i="5"/>
  <c r="J43" i="5"/>
  <c r="K43" i="5"/>
  <c r="L43" i="5"/>
  <c r="M43" i="5"/>
  <c r="N43" i="5"/>
  <c r="C42" i="5"/>
  <c r="D42" i="5"/>
  <c r="E42" i="5"/>
  <c r="F42" i="5"/>
  <c r="G42" i="5"/>
  <c r="H42" i="5"/>
  <c r="I42" i="5"/>
  <c r="J42" i="5"/>
  <c r="K42" i="5"/>
  <c r="L42" i="5"/>
  <c r="M42" i="5"/>
  <c r="N42" i="5"/>
  <c r="C41" i="5"/>
  <c r="D41" i="5"/>
  <c r="E41" i="5"/>
  <c r="F41" i="5"/>
  <c r="G41" i="5"/>
  <c r="H41" i="5"/>
  <c r="I41" i="5"/>
  <c r="J41" i="5"/>
  <c r="K41" i="5"/>
  <c r="L41" i="5"/>
  <c r="M41" i="5"/>
  <c r="N41" i="5"/>
  <c r="C40" i="5"/>
  <c r="D40" i="5"/>
  <c r="E40" i="5"/>
  <c r="F40" i="5"/>
  <c r="G40" i="5"/>
  <c r="H40" i="5"/>
  <c r="I40" i="5"/>
  <c r="J40" i="5"/>
  <c r="K40" i="5"/>
  <c r="L40" i="5"/>
  <c r="M40" i="5"/>
  <c r="N40" i="5"/>
  <c r="B40" i="5"/>
  <c r="C39" i="5"/>
  <c r="D39" i="5"/>
  <c r="E39" i="5"/>
  <c r="F39" i="5"/>
  <c r="G39" i="5"/>
  <c r="H39" i="5"/>
  <c r="I39" i="5"/>
  <c r="J39" i="5"/>
  <c r="K39" i="5"/>
  <c r="L39" i="5"/>
  <c r="M39" i="5"/>
  <c r="N39" i="5"/>
  <c r="B39" i="5"/>
  <c r="B41" i="5" s="1"/>
  <c r="N38" i="5"/>
  <c r="C38" i="5"/>
  <c r="D38" i="5"/>
  <c r="E38" i="5"/>
  <c r="F38" i="5"/>
  <c r="G38" i="5"/>
  <c r="H38" i="5"/>
  <c r="I38" i="5"/>
  <c r="J38" i="5"/>
  <c r="K38" i="5"/>
  <c r="L38" i="5"/>
  <c r="M38" i="5"/>
  <c r="B38" i="5"/>
  <c r="C30" i="4"/>
  <c r="C33" i="4"/>
  <c r="C34" i="4"/>
  <c r="C31" i="4"/>
  <c r="C35" i="4"/>
  <c r="C32" i="4"/>
  <c r="B42" i="5" l="1"/>
  <c r="D31" i="4"/>
  <c r="E33" i="4"/>
  <c r="E35" i="4"/>
  <c r="D35" i="4"/>
  <c r="E31" i="4"/>
  <c r="E34" i="4"/>
  <c r="D33" i="4"/>
  <c r="D30" i="4"/>
  <c r="D32" i="4"/>
  <c r="D34" i="4"/>
  <c r="E30" i="4"/>
  <c r="E32" i="4"/>
</calcChain>
</file>

<file path=xl/sharedStrings.xml><?xml version="1.0" encoding="utf-8"?>
<sst xmlns="http://schemas.openxmlformats.org/spreadsheetml/2006/main" count="84" uniqueCount="38">
  <si>
    <t>Consumption Data</t>
  </si>
  <si>
    <t>Item-&gt;</t>
  </si>
  <si>
    <t>Product1</t>
  </si>
  <si>
    <t>Product2</t>
  </si>
  <si>
    <t>Product3</t>
  </si>
  <si>
    <t>Product4</t>
  </si>
  <si>
    <t>Product5</t>
  </si>
  <si>
    <t>Product6</t>
  </si>
  <si>
    <t>Product7</t>
  </si>
  <si>
    <t>Product8</t>
  </si>
  <si>
    <t>Product9</t>
  </si>
  <si>
    <t>Product10</t>
  </si>
  <si>
    <t>Product11</t>
  </si>
  <si>
    <t>Product12</t>
  </si>
  <si>
    <t>Product13</t>
  </si>
  <si>
    <t>Date(MM/YY)</t>
  </si>
  <si>
    <t>Units</t>
  </si>
  <si>
    <t>Additional Information:</t>
  </si>
  <si>
    <t>Unit Cost Price</t>
  </si>
  <si>
    <t>HoldingCost</t>
  </si>
  <si>
    <t>Fixordercost</t>
  </si>
  <si>
    <t>LeadTime(days)</t>
  </si>
  <si>
    <t>Timeline</t>
  </si>
  <si>
    <t>Values</t>
  </si>
  <si>
    <t>Forecast</t>
  </si>
  <si>
    <t>Lower Confidence Bound</t>
  </si>
  <si>
    <t>Upper Confidence Bound</t>
  </si>
  <si>
    <t>FORECASTING</t>
  </si>
  <si>
    <t>Avg usage</t>
  </si>
  <si>
    <t>Max Usage</t>
  </si>
  <si>
    <t>SOLUTION:</t>
  </si>
  <si>
    <t>EOQ</t>
  </si>
  <si>
    <t>Total cost</t>
  </si>
  <si>
    <t>TVC</t>
  </si>
  <si>
    <t>Safety Stock</t>
  </si>
  <si>
    <t>Reorder point</t>
  </si>
  <si>
    <t>Demand</t>
  </si>
  <si>
    <t>FORMULAS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</si>
</sst>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5" xfId="0" applyBorder="1" applyAlignment="1">
      <alignment vertical="center" wrapText="1"/>
    </xf>
    <xf numFmtId="17" fontId="0" fillId="0" borderId="6" xfId="0" applyNumberFormat="1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2" borderId="4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 wrapText="1"/>
    </xf>
    <xf numFmtId="0" fontId="1" fillId="3" borderId="4" xfId="0" applyFont="1" applyFill="1" applyBorder="1" applyAlignment="1">
      <alignment vertical="center" wrapText="1"/>
    </xf>
    <xf numFmtId="0" fontId="1" fillId="3" borderId="5" xfId="0" applyFont="1" applyFill="1" applyBorder="1" applyAlignment="1">
      <alignment vertical="center" wrapText="1"/>
    </xf>
    <xf numFmtId="0" fontId="0" fillId="3" borderId="4" xfId="0" applyFill="1" applyBorder="1" applyAlignment="1">
      <alignment vertical="center" wrapText="1"/>
    </xf>
    <xf numFmtId="0" fontId="0" fillId="3" borderId="5" xfId="0" applyFill="1" applyBorder="1" applyAlignment="1">
      <alignment vertical="center" wrapText="1"/>
    </xf>
    <xf numFmtId="17" fontId="0" fillId="3" borderId="4" xfId="0" applyNumberFormat="1" applyFill="1" applyBorder="1" applyAlignment="1">
      <alignment vertical="center" wrapText="1"/>
    </xf>
    <xf numFmtId="17" fontId="0" fillId="0" borderId="0" xfId="0" applyNumberFormat="1"/>
    <xf numFmtId="2" fontId="0" fillId="0" borderId="0" xfId="0" applyNumberFormat="1"/>
    <xf numFmtId="0" fontId="0" fillId="0" borderId="0" xfId="0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3" borderId="8" xfId="0" applyFill="1" applyBorder="1" applyAlignment="1">
      <alignment vertical="center" wrapText="1"/>
    </xf>
    <xf numFmtId="0" fontId="0" fillId="0" borderId="8" xfId="0" applyBorder="1"/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1" fillId="4" borderId="2" xfId="0" applyFont="1" applyFill="1" applyBorder="1" applyAlignment="1">
      <alignment horizontal="center" wrapText="1"/>
    </xf>
    <xf numFmtId="0" fontId="1" fillId="4" borderId="3" xfId="0" applyFont="1" applyFill="1" applyBorder="1" applyAlignment="1">
      <alignment horizont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/>
  </cellXfs>
  <cellStyles count="1">
    <cellStyle name="Normal" xfId="0" builtinId="0"/>
  </cellStyles>
  <dxfs count="3">
    <dxf>
      <numFmt numFmtId="2" formatCode="0.00"/>
    </dxf>
    <dxf>
      <numFmt numFmtId="2" formatCode="0.00"/>
    </dxf>
    <dxf>
      <numFmt numFmtId="22" formatCode="m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Forecast!$B$5</c:f>
              <c:strCache>
                <c:ptCount val="1"/>
                <c:pt idx="0">
                  <c:v>Values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val>
            <c:numRef>
              <c:f>Forecast!$B$6:$B$35</c:f>
              <c:numCache>
                <c:formatCode>General</c:formatCode>
                <c:ptCount val="30"/>
                <c:pt idx="0">
                  <c:v>0</c:v>
                </c:pt>
                <c:pt idx="1">
                  <c:v>129</c:v>
                </c:pt>
                <c:pt idx="2">
                  <c:v>1312</c:v>
                </c:pt>
                <c:pt idx="3">
                  <c:v>167</c:v>
                </c:pt>
                <c:pt idx="4">
                  <c:v>707</c:v>
                </c:pt>
                <c:pt idx="5">
                  <c:v>160</c:v>
                </c:pt>
                <c:pt idx="6">
                  <c:v>1482</c:v>
                </c:pt>
                <c:pt idx="7">
                  <c:v>788</c:v>
                </c:pt>
                <c:pt idx="8">
                  <c:v>471</c:v>
                </c:pt>
                <c:pt idx="9">
                  <c:v>76</c:v>
                </c:pt>
                <c:pt idx="10">
                  <c:v>38</c:v>
                </c:pt>
                <c:pt idx="11">
                  <c:v>226</c:v>
                </c:pt>
                <c:pt idx="12">
                  <c:v>1153</c:v>
                </c:pt>
                <c:pt idx="13">
                  <c:v>63</c:v>
                </c:pt>
                <c:pt idx="14">
                  <c:v>662</c:v>
                </c:pt>
                <c:pt idx="15">
                  <c:v>200</c:v>
                </c:pt>
                <c:pt idx="16">
                  <c:v>502</c:v>
                </c:pt>
                <c:pt idx="17">
                  <c:v>658</c:v>
                </c:pt>
                <c:pt idx="18">
                  <c:v>595</c:v>
                </c:pt>
                <c:pt idx="19">
                  <c:v>431</c:v>
                </c:pt>
                <c:pt idx="20">
                  <c:v>439</c:v>
                </c:pt>
                <c:pt idx="21">
                  <c:v>215</c:v>
                </c:pt>
                <c:pt idx="22">
                  <c:v>76</c:v>
                </c:pt>
                <c:pt idx="23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A5-4D64-BB8E-C280436F952E}"/>
            </c:ext>
          </c:extLst>
        </c:ser>
        <c:ser>
          <c:idx val="1"/>
          <c:order val="1"/>
          <c:tx>
            <c:strRef>
              <c:f>Forecast!$C$5</c:f>
              <c:strCache>
                <c:ptCount val="1"/>
                <c:pt idx="0">
                  <c:v>Forecast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Forecast!$A$6:$A$35</c:f>
              <c:numCache>
                <c:formatCode>mmm\-yy</c:formatCode>
                <c:ptCount val="30"/>
                <c:pt idx="0">
                  <c:v>39448</c:v>
                </c:pt>
                <c:pt idx="1">
                  <c:v>39479</c:v>
                </c:pt>
                <c:pt idx="2">
                  <c:v>39508</c:v>
                </c:pt>
                <c:pt idx="3">
                  <c:v>39539</c:v>
                </c:pt>
                <c:pt idx="4">
                  <c:v>39569</c:v>
                </c:pt>
                <c:pt idx="5">
                  <c:v>39600</c:v>
                </c:pt>
                <c:pt idx="6">
                  <c:v>39630</c:v>
                </c:pt>
                <c:pt idx="7">
                  <c:v>39661</c:v>
                </c:pt>
                <c:pt idx="8">
                  <c:v>39692</c:v>
                </c:pt>
                <c:pt idx="9">
                  <c:v>39722</c:v>
                </c:pt>
                <c:pt idx="10">
                  <c:v>39753</c:v>
                </c:pt>
                <c:pt idx="11">
                  <c:v>39783</c:v>
                </c:pt>
                <c:pt idx="12">
                  <c:v>39814</c:v>
                </c:pt>
                <c:pt idx="13">
                  <c:v>39845</c:v>
                </c:pt>
                <c:pt idx="14">
                  <c:v>39873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40026</c:v>
                </c:pt>
                <c:pt idx="20">
                  <c:v>40057</c:v>
                </c:pt>
                <c:pt idx="21">
                  <c:v>40087</c:v>
                </c:pt>
                <c:pt idx="22">
                  <c:v>40118</c:v>
                </c:pt>
                <c:pt idx="23">
                  <c:v>40148</c:v>
                </c:pt>
                <c:pt idx="24">
                  <c:v>40179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40299</c:v>
                </c:pt>
                <c:pt idx="29">
                  <c:v>40330</c:v>
                </c:pt>
              </c:numCache>
            </c:numRef>
          </c:cat>
          <c:val>
            <c:numRef>
              <c:f>Forecast!$C$6:$C$35</c:f>
              <c:numCache>
                <c:formatCode>General</c:formatCode>
                <c:ptCount val="30"/>
                <c:pt idx="23">
                  <c:v>70</c:v>
                </c:pt>
                <c:pt idx="24">
                  <c:v>508.24300900210858</c:v>
                </c:pt>
                <c:pt idx="25">
                  <c:v>-69.058442780878295</c:v>
                </c:pt>
                <c:pt idx="26">
                  <c:v>496.12275179601863</c:v>
                </c:pt>
                <c:pt idx="27">
                  <c:v>-81.178699986968184</c:v>
                </c:pt>
                <c:pt idx="28">
                  <c:v>484.0024945899288</c:v>
                </c:pt>
                <c:pt idx="29">
                  <c:v>-93.298957193058072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A5-4D64-BB8E-C280436F952E}"/>
            </c:ext>
          </c:extLst>
        </c:ser>
        <c:ser>
          <c:idx val="2"/>
          <c:order val="2"/>
          <c:tx>
            <c:strRef>
              <c:f>Forecast!$D$5</c:f>
              <c:strCache>
                <c:ptCount val="1"/>
                <c:pt idx="0">
                  <c:v>Lower Confidence Bound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Forecast!$A$6:$A$35</c:f>
              <c:numCache>
                <c:formatCode>mmm\-yy</c:formatCode>
                <c:ptCount val="30"/>
                <c:pt idx="0">
                  <c:v>39448</c:v>
                </c:pt>
                <c:pt idx="1">
                  <c:v>39479</c:v>
                </c:pt>
                <c:pt idx="2">
                  <c:v>39508</c:v>
                </c:pt>
                <c:pt idx="3">
                  <c:v>39539</c:v>
                </c:pt>
                <c:pt idx="4">
                  <c:v>39569</c:v>
                </c:pt>
                <c:pt idx="5">
                  <c:v>39600</c:v>
                </c:pt>
                <c:pt idx="6">
                  <c:v>39630</c:v>
                </c:pt>
                <c:pt idx="7">
                  <c:v>39661</c:v>
                </c:pt>
                <c:pt idx="8">
                  <c:v>39692</c:v>
                </c:pt>
                <c:pt idx="9">
                  <c:v>39722</c:v>
                </c:pt>
                <c:pt idx="10">
                  <c:v>39753</c:v>
                </c:pt>
                <c:pt idx="11">
                  <c:v>39783</c:v>
                </c:pt>
                <c:pt idx="12">
                  <c:v>39814</c:v>
                </c:pt>
                <c:pt idx="13">
                  <c:v>39845</c:v>
                </c:pt>
                <c:pt idx="14">
                  <c:v>39873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40026</c:v>
                </c:pt>
                <c:pt idx="20">
                  <c:v>40057</c:v>
                </c:pt>
                <c:pt idx="21">
                  <c:v>40087</c:v>
                </c:pt>
                <c:pt idx="22">
                  <c:v>40118</c:v>
                </c:pt>
                <c:pt idx="23">
                  <c:v>40148</c:v>
                </c:pt>
                <c:pt idx="24">
                  <c:v>40179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40299</c:v>
                </c:pt>
                <c:pt idx="29">
                  <c:v>40330</c:v>
                </c:pt>
              </c:numCache>
            </c:numRef>
          </c:cat>
          <c:val>
            <c:numRef>
              <c:f>Forecast!$D$6:$D$35</c:f>
              <c:numCache>
                <c:formatCode>General</c:formatCode>
                <c:ptCount val="30"/>
                <c:pt idx="23" formatCode="0.00">
                  <c:v>70</c:v>
                </c:pt>
                <c:pt idx="24" formatCode="0.00">
                  <c:v>-390.07113314740639</c:v>
                </c:pt>
                <c:pt idx="25" formatCode="0.00">
                  <c:v>-1074.2089474076417</c:v>
                </c:pt>
                <c:pt idx="26" formatCode="0.00">
                  <c:v>-606.28842201010855</c:v>
                </c:pt>
                <c:pt idx="27" formatCode="0.00">
                  <c:v>-1272.9392696123309</c:v>
                </c:pt>
                <c:pt idx="28" formatCode="0.00">
                  <c:v>-791.49983408566641</c:v>
                </c:pt>
                <c:pt idx="29" formatCode="0.00">
                  <c:v>-1447.3739645689284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A5-4D64-BB8E-C280436F952E}"/>
            </c:ext>
          </c:extLst>
        </c:ser>
        <c:ser>
          <c:idx val="3"/>
          <c:order val="3"/>
          <c:tx>
            <c:strRef>
              <c:f>Forecast!$E$5</c:f>
              <c:strCache>
                <c:ptCount val="1"/>
                <c:pt idx="0">
                  <c:v>Upper Confidence Bound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Forecast!$A$6:$A$35</c:f>
              <c:numCache>
                <c:formatCode>mmm\-yy</c:formatCode>
                <c:ptCount val="30"/>
                <c:pt idx="0">
                  <c:v>39448</c:v>
                </c:pt>
                <c:pt idx="1">
                  <c:v>39479</c:v>
                </c:pt>
                <c:pt idx="2">
                  <c:v>39508</c:v>
                </c:pt>
                <c:pt idx="3">
                  <c:v>39539</c:v>
                </c:pt>
                <c:pt idx="4">
                  <c:v>39569</c:v>
                </c:pt>
                <c:pt idx="5">
                  <c:v>39600</c:v>
                </c:pt>
                <c:pt idx="6">
                  <c:v>39630</c:v>
                </c:pt>
                <c:pt idx="7">
                  <c:v>39661</c:v>
                </c:pt>
                <c:pt idx="8">
                  <c:v>39692</c:v>
                </c:pt>
                <c:pt idx="9">
                  <c:v>39722</c:v>
                </c:pt>
                <c:pt idx="10">
                  <c:v>39753</c:v>
                </c:pt>
                <c:pt idx="11">
                  <c:v>39783</c:v>
                </c:pt>
                <c:pt idx="12">
                  <c:v>39814</c:v>
                </c:pt>
                <c:pt idx="13">
                  <c:v>39845</c:v>
                </c:pt>
                <c:pt idx="14">
                  <c:v>39873</c:v>
                </c:pt>
                <c:pt idx="15">
                  <c:v>39904</c:v>
                </c:pt>
                <c:pt idx="16">
                  <c:v>39934</c:v>
                </c:pt>
                <c:pt idx="17">
                  <c:v>39965</c:v>
                </c:pt>
                <c:pt idx="18">
                  <c:v>39995</c:v>
                </c:pt>
                <c:pt idx="19">
                  <c:v>40026</c:v>
                </c:pt>
                <c:pt idx="20">
                  <c:v>40057</c:v>
                </c:pt>
                <c:pt idx="21">
                  <c:v>40087</c:v>
                </c:pt>
                <c:pt idx="22">
                  <c:v>40118</c:v>
                </c:pt>
                <c:pt idx="23">
                  <c:v>40148</c:v>
                </c:pt>
                <c:pt idx="24">
                  <c:v>40179</c:v>
                </c:pt>
                <c:pt idx="25">
                  <c:v>40210</c:v>
                </c:pt>
                <c:pt idx="26">
                  <c:v>40238</c:v>
                </c:pt>
                <c:pt idx="27">
                  <c:v>40269</c:v>
                </c:pt>
                <c:pt idx="28">
                  <c:v>40299</c:v>
                </c:pt>
                <c:pt idx="29">
                  <c:v>40330</c:v>
                </c:pt>
              </c:numCache>
            </c:numRef>
          </c:cat>
          <c:val>
            <c:numRef>
              <c:f>Forecast!$E$6:$E$35</c:f>
              <c:numCache>
                <c:formatCode>General</c:formatCode>
                <c:ptCount val="30"/>
                <c:pt idx="23" formatCode="0.00">
                  <c:v>70</c:v>
                </c:pt>
                <c:pt idx="24" formatCode="0.00">
                  <c:v>1406.5571511516237</c:v>
                </c:pt>
                <c:pt idx="25" formatCode="0.00">
                  <c:v>936.09206184588515</c:v>
                </c:pt>
                <c:pt idx="26" formatCode="0.00">
                  <c:v>1598.5339256021457</c:v>
                </c:pt>
                <c:pt idx="27" formatCode="0.00">
                  <c:v>1110.5818696383944</c:v>
                </c:pt>
                <c:pt idx="28" formatCode="0.00">
                  <c:v>1759.504823265524</c:v>
                </c:pt>
                <c:pt idx="29" formatCode="0.00">
                  <c:v>1260.7760501828125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A5-4D64-BB8E-C280436F9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4277551"/>
        <c:axId val="1694280431"/>
      </c:lineChart>
      <c:catAx>
        <c:axId val="1694277551"/>
        <c:scaling>
          <c:orientation val="minMax"/>
        </c:scaling>
        <c:delete val="0"/>
        <c:axPos val="b"/>
        <c:majorTickMark val="none"/>
        <c:minorTickMark val="none"/>
        <c:tickLblPos val="low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80431"/>
        <c:crosses val="autoZero"/>
        <c:auto val="1"/>
        <c:lblAlgn val="ctr"/>
        <c:lblOffset val="100"/>
        <c:noMultiLvlLbl val="0"/>
      </c:catAx>
      <c:valAx>
        <c:axId val="1694280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4277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447387</xdr:colOff>
      <xdr:row>19</xdr:row>
      <xdr:rowOff>173181</xdr:rowOff>
    </xdr:from>
    <xdr:to>
      <xdr:col>36</xdr:col>
      <xdr:colOff>488687</xdr:colOff>
      <xdr:row>23</xdr:row>
      <xdr:rowOff>89511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165D8-FE2B-4C1B-595E-B44EDBEBC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27387" y="3853295"/>
          <a:ext cx="6102664" cy="66678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567447</xdr:colOff>
      <xdr:row>10</xdr:row>
      <xdr:rowOff>13511</xdr:rowOff>
    </xdr:from>
    <xdr:to>
      <xdr:col>18</xdr:col>
      <xdr:colOff>13510</xdr:colOff>
      <xdr:row>31</xdr:row>
      <xdr:rowOff>13510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B29126F-88E5-F23B-C6F5-8ABF41F2E4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9C442C7-A002-4EB5-B5B2-AEC782C1D247}" name="Table2" displayName="Table2" ref="A5:E35" totalsRowShown="0">
  <autoFilter ref="A5:E35" xr:uid="{39C442C7-A002-4EB5-B5B2-AEC782C1D247}"/>
  <tableColumns count="5">
    <tableColumn id="1" xr3:uid="{53DBF6E1-AF08-4D1F-B654-BA20EE8EB947}" name="Timeline" dataDxfId="2"/>
    <tableColumn id="2" xr3:uid="{813743B1-F41C-4059-B0D5-0B63EF61C6E3}" name="Values"/>
    <tableColumn id="3" xr3:uid="{4B4A98B0-6285-4CC6-89B5-DD7D81826879}" name="Forecast">
      <calculatedColumnFormula>_xlfn.FORECAST.ETS(A6,$B$6:$B$29,$A$6:$A$29,1,1)</calculatedColumnFormula>
    </tableColumn>
    <tableColumn id="4" xr3:uid="{01619611-D10A-44E8-95C6-6B5C55AF2DF9}" name="Lower Confidence Bound" dataDxfId="1">
      <calculatedColumnFormula>C6-_xlfn.FORECAST.ETS.CONFINT(A6,$B$6:$B$29,$A$6:$A$29,0.95,1,1)</calculatedColumnFormula>
    </tableColumn>
    <tableColumn id="5" xr3:uid="{4F28675D-0EB8-4ED4-8129-C91ED64E67D4}" name="Upper Confidence Bound" dataDxfId="0">
      <calculatedColumnFormula>C6+_xlfn.FORECAST.ETS.CONFINT(A6,$B$6:$B$29,$A$6:$A$29,0.95,1,1)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2568B-9649-44EC-897C-B41D21A02E88}">
  <dimension ref="A1:N33"/>
  <sheetViews>
    <sheetView topLeftCell="A15" zoomScale="78" workbookViewId="0">
      <selection activeCell="F20" sqref="F20"/>
    </sheetView>
  </sheetViews>
  <sheetFormatPr defaultRowHeight="14.5" x14ac:dyDescent="0.35"/>
  <cols>
    <col min="1" max="1" width="14.6328125" customWidth="1"/>
    <col min="11" max="12" width="11.90625" customWidth="1"/>
    <col min="13" max="13" width="10.6328125" customWidth="1"/>
    <col min="14" max="14" width="12.453125" customWidth="1"/>
  </cols>
  <sheetData>
    <row r="1" spans="1:14" ht="15" thickBot="1" x14ac:dyDescent="0.4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ht="18" customHeight="1" thickBot="1" x14ac:dyDescent="0.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21" customHeight="1" thickBot="1" x14ac:dyDescent="0.4">
      <c r="A3" s="6" t="s">
        <v>15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16</v>
      </c>
      <c r="L3" s="7" t="s">
        <v>16</v>
      </c>
      <c r="M3" s="7" t="s">
        <v>16</v>
      </c>
      <c r="N3" s="7" t="s">
        <v>16</v>
      </c>
    </row>
    <row r="4" spans="1:14" ht="15" thickBot="1" x14ac:dyDescent="0.4">
      <c r="A4" s="10">
        <v>39448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ht="15" thickBot="1" x14ac:dyDescent="0.4">
      <c r="A5" s="10">
        <v>39479</v>
      </c>
      <c r="B5" s="1">
        <v>390</v>
      </c>
      <c r="C5" s="1">
        <v>0</v>
      </c>
      <c r="D5" s="1">
        <v>69</v>
      </c>
      <c r="E5" s="1">
        <v>455</v>
      </c>
      <c r="F5" s="1">
        <v>786</v>
      </c>
      <c r="G5" s="1">
        <v>5.34</v>
      </c>
      <c r="H5" s="1">
        <v>279</v>
      </c>
      <c r="I5" s="1">
        <v>4</v>
      </c>
      <c r="J5" s="1">
        <v>47</v>
      </c>
      <c r="K5" s="1">
        <v>94</v>
      </c>
      <c r="L5" s="1">
        <v>162</v>
      </c>
      <c r="M5" s="1">
        <v>150</v>
      </c>
      <c r="N5" s="1">
        <v>129</v>
      </c>
    </row>
    <row r="6" spans="1:14" ht="15" thickBot="1" x14ac:dyDescent="0.4">
      <c r="A6" s="10">
        <v>39508</v>
      </c>
      <c r="B6" s="1">
        <v>654</v>
      </c>
      <c r="C6" s="1">
        <v>0</v>
      </c>
      <c r="D6" s="1">
        <v>89</v>
      </c>
      <c r="E6" s="1">
        <v>749</v>
      </c>
      <c r="F6" s="1">
        <v>900</v>
      </c>
      <c r="G6" s="1">
        <v>3.84</v>
      </c>
      <c r="H6" s="1">
        <v>649</v>
      </c>
      <c r="I6" s="1">
        <v>6</v>
      </c>
      <c r="J6" s="1">
        <v>108</v>
      </c>
      <c r="K6" s="1">
        <v>174</v>
      </c>
      <c r="L6" s="1">
        <v>677</v>
      </c>
      <c r="M6" s="1">
        <v>202</v>
      </c>
      <c r="N6" s="1">
        <v>1312</v>
      </c>
    </row>
    <row r="7" spans="1:14" ht="15" thickBot="1" x14ac:dyDescent="0.4">
      <c r="A7" s="10">
        <v>39539</v>
      </c>
      <c r="B7" s="1">
        <v>420</v>
      </c>
      <c r="C7" s="1">
        <v>0</v>
      </c>
      <c r="D7" s="1">
        <v>76</v>
      </c>
      <c r="E7" s="1">
        <v>494</v>
      </c>
      <c r="F7" s="1">
        <v>782</v>
      </c>
      <c r="G7" s="1">
        <v>0.54</v>
      </c>
      <c r="H7" s="1">
        <v>535</v>
      </c>
      <c r="I7" s="1">
        <v>2</v>
      </c>
      <c r="J7" s="1">
        <v>99</v>
      </c>
      <c r="K7" s="1">
        <v>872</v>
      </c>
      <c r="L7" s="1">
        <v>458</v>
      </c>
      <c r="M7" s="1">
        <v>403</v>
      </c>
      <c r="N7" s="1">
        <v>167</v>
      </c>
    </row>
    <row r="8" spans="1:14" ht="15" thickBot="1" x14ac:dyDescent="0.4">
      <c r="A8" s="10">
        <v>39569</v>
      </c>
      <c r="B8" s="1">
        <v>421</v>
      </c>
      <c r="C8" s="1">
        <v>0</v>
      </c>
      <c r="D8" s="1">
        <v>100</v>
      </c>
      <c r="E8" s="1">
        <v>279</v>
      </c>
      <c r="F8" s="1">
        <v>1488</v>
      </c>
      <c r="G8" s="1">
        <v>1.38</v>
      </c>
      <c r="H8" s="1">
        <v>1907</v>
      </c>
      <c r="I8" s="1">
        <v>2</v>
      </c>
      <c r="J8" s="1">
        <v>102</v>
      </c>
      <c r="K8" s="1">
        <v>158</v>
      </c>
      <c r="L8" s="1">
        <v>655</v>
      </c>
      <c r="M8" s="1">
        <v>582</v>
      </c>
      <c r="N8" s="1">
        <v>707</v>
      </c>
    </row>
    <row r="9" spans="1:14" ht="15" thickBot="1" x14ac:dyDescent="0.4">
      <c r="A9" s="10">
        <v>39600</v>
      </c>
      <c r="B9" s="1">
        <v>704</v>
      </c>
      <c r="C9" s="1">
        <v>0</v>
      </c>
      <c r="D9" s="1">
        <v>154</v>
      </c>
      <c r="E9" s="1">
        <v>487</v>
      </c>
      <c r="F9" s="1">
        <v>1310</v>
      </c>
      <c r="G9" s="1">
        <v>3.58</v>
      </c>
      <c r="H9" s="1">
        <v>553</v>
      </c>
      <c r="I9" s="1">
        <v>4</v>
      </c>
      <c r="J9" s="1">
        <v>188</v>
      </c>
      <c r="K9" s="1">
        <v>1449</v>
      </c>
      <c r="L9" s="1">
        <v>334</v>
      </c>
      <c r="M9" s="1">
        <v>145</v>
      </c>
      <c r="N9" s="1">
        <v>160</v>
      </c>
    </row>
    <row r="10" spans="1:14" ht="15" thickBot="1" x14ac:dyDescent="0.4">
      <c r="A10" s="10">
        <v>39630</v>
      </c>
      <c r="B10" s="1">
        <v>686</v>
      </c>
      <c r="C10" s="1">
        <v>2</v>
      </c>
      <c r="D10" s="1">
        <v>96</v>
      </c>
      <c r="E10" s="1">
        <v>1102</v>
      </c>
      <c r="F10" s="1">
        <v>934</v>
      </c>
      <c r="G10" s="1">
        <v>0.28000000000000003</v>
      </c>
      <c r="H10" s="1">
        <v>418</v>
      </c>
      <c r="I10" s="1">
        <v>5</v>
      </c>
      <c r="J10" s="1">
        <v>394</v>
      </c>
      <c r="K10" s="1">
        <v>215</v>
      </c>
      <c r="L10" s="1">
        <v>282</v>
      </c>
      <c r="M10" s="1">
        <v>320</v>
      </c>
      <c r="N10" s="1">
        <v>1482</v>
      </c>
    </row>
    <row r="11" spans="1:14" ht="15" thickBot="1" x14ac:dyDescent="0.4">
      <c r="A11" s="10">
        <v>39661</v>
      </c>
      <c r="B11" s="1">
        <v>441</v>
      </c>
      <c r="C11" s="1">
        <v>4</v>
      </c>
      <c r="D11" s="1">
        <v>112</v>
      </c>
      <c r="E11" s="1">
        <v>432</v>
      </c>
      <c r="F11" s="1">
        <v>1078</v>
      </c>
      <c r="G11" s="1">
        <v>0.22</v>
      </c>
      <c r="H11" s="1">
        <v>358</v>
      </c>
      <c r="I11" s="1">
        <v>2</v>
      </c>
      <c r="J11" s="1">
        <v>201</v>
      </c>
      <c r="K11" s="1">
        <v>94</v>
      </c>
      <c r="L11" s="1">
        <v>392</v>
      </c>
      <c r="M11" s="1">
        <v>224</v>
      </c>
      <c r="N11" s="1">
        <v>788</v>
      </c>
    </row>
    <row r="12" spans="1:14" ht="15" thickBot="1" x14ac:dyDescent="0.4">
      <c r="A12" s="10">
        <v>39692</v>
      </c>
      <c r="B12" s="1">
        <v>624</v>
      </c>
      <c r="C12" s="1">
        <v>10</v>
      </c>
      <c r="D12" s="1">
        <v>103</v>
      </c>
      <c r="E12" s="1">
        <v>458</v>
      </c>
      <c r="F12" s="1">
        <v>1273</v>
      </c>
      <c r="G12" s="1">
        <v>4.9400000000000004</v>
      </c>
      <c r="H12" s="1">
        <v>337</v>
      </c>
      <c r="I12" s="1">
        <v>2</v>
      </c>
      <c r="J12" s="1">
        <v>179</v>
      </c>
      <c r="K12" s="1">
        <v>116</v>
      </c>
      <c r="L12" s="1">
        <v>1061</v>
      </c>
      <c r="M12" s="1">
        <v>406</v>
      </c>
      <c r="N12" s="1">
        <v>471</v>
      </c>
    </row>
    <row r="13" spans="1:14" ht="15" thickBot="1" x14ac:dyDescent="0.4">
      <c r="A13" s="10">
        <v>39722</v>
      </c>
      <c r="B13" s="1">
        <v>453</v>
      </c>
      <c r="C13" s="1">
        <v>3</v>
      </c>
      <c r="D13" s="1">
        <v>65</v>
      </c>
      <c r="E13" s="1">
        <v>437</v>
      </c>
      <c r="F13" s="1">
        <v>835</v>
      </c>
      <c r="G13" s="1">
        <v>3</v>
      </c>
      <c r="H13" s="1">
        <v>318</v>
      </c>
      <c r="I13" s="1">
        <v>3</v>
      </c>
      <c r="J13" s="1">
        <v>106</v>
      </c>
      <c r="K13" s="1">
        <v>70</v>
      </c>
      <c r="L13" s="1">
        <v>178</v>
      </c>
      <c r="M13" s="1">
        <v>158</v>
      </c>
      <c r="N13" s="1">
        <v>76</v>
      </c>
    </row>
    <row r="14" spans="1:14" ht="15" thickBot="1" x14ac:dyDescent="0.4">
      <c r="A14" s="10">
        <v>39753</v>
      </c>
      <c r="B14" s="1">
        <v>573</v>
      </c>
      <c r="C14" s="1">
        <v>6</v>
      </c>
      <c r="D14" s="1">
        <v>69</v>
      </c>
      <c r="E14" s="1">
        <v>352</v>
      </c>
      <c r="F14" s="1">
        <v>817</v>
      </c>
      <c r="G14" s="1">
        <v>3.9</v>
      </c>
      <c r="H14" s="1">
        <v>207</v>
      </c>
      <c r="I14" s="1">
        <v>1</v>
      </c>
      <c r="J14" s="1">
        <v>70</v>
      </c>
      <c r="K14" s="1">
        <v>41</v>
      </c>
      <c r="L14" s="1">
        <v>327</v>
      </c>
      <c r="M14" s="1">
        <v>199</v>
      </c>
      <c r="N14" s="1">
        <v>38</v>
      </c>
    </row>
    <row r="15" spans="1:14" ht="15" thickBot="1" x14ac:dyDescent="0.4">
      <c r="A15" s="10">
        <v>39783</v>
      </c>
      <c r="B15" s="1">
        <v>508</v>
      </c>
      <c r="C15" s="1">
        <v>12</v>
      </c>
      <c r="D15" s="1">
        <v>56</v>
      </c>
      <c r="E15" s="1">
        <v>379</v>
      </c>
      <c r="F15" s="1">
        <v>373</v>
      </c>
      <c r="G15" s="1">
        <v>2.82</v>
      </c>
      <c r="H15" s="1">
        <v>124</v>
      </c>
      <c r="I15" s="1">
        <v>3</v>
      </c>
      <c r="J15" s="1">
        <v>74</v>
      </c>
      <c r="K15" s="1">
        <v>55</v>
      </c>
      <c r="L15" s="1">
        <v>316</v>
      </c>
      <c r="M15" s="1">
        <v>132</v>
      </c>
      <c r="N15" s="1">
        <v>226</v>
      </c>
    </row>
    <row r="16" spans="1:14" ht="15" thickBot="1" x14ac:dyDescent="0.4">
      <c r="A16" s="10">
        <v>39814</v>
      </c>
      <c r="B16" s="1">
        <v>602</v>
      </c>
      <c r="C16" s="1">
        <v>10</v>
      </c>
      <c r="D16" s="1">
        <v>61</v>
      </c>
      <c r="E16" s="1">
        <v>463</v>
      </c>
      <c r="F16" s="1">
        <v>348</v>
      </c>
      <c r="G16" s="1">
        <v>4.82</v>
      </c>
      <c r="H16" s="1">
        <v>243</v>
      </c>
      <c r="I16" s="1">
        <v>0</v>
      </c>
      <c r="J16" s="1">
        <v>54</v>
      </c>
      <c r="K16" s="1">
        <v>67</v>
      </c>
      <c r="L16" s="1">
        <v>265</v>
      </c>
      <c r="M16" s="1">
        <v>44</v>
      </c>
      <c r="N16" s="1">
        <v>1153</v>
      </c>
    </row>
    <row r="17" spans="1:14" ht="15" thickBot="1" x14ac:dyDescent="0.4">
      <c r="A17" s="10">
        <v>39845</v>
      </c>
      <c r="B17" s="1">
        <v>485</v>
      </c>
      <c r="C17" s="1">
        <v>2</v>
      </c>
      <c r="D17" s="1">
        <v>55</v>
      </c>
      <c r="E17" s="1">
        <v>294</v>
      </c>
      <c r="F17" s="1">
        <v>575</v>
      </c>
      <c r="G17" s="1">
        <v>12.08</v>
      </c>
      <c r="H17" s="1">
        <v>235</v>
      </c>
      <c r="I17" s="1">
        <v>3</v>
      </c>
      <c r="J17" s="1">
        <v>30</v>
      </c>
      <c r="K17" s="1">
        <v>34</v>
      </c>
      <c r="L17" s="1">
        <v>203</v>
      </c>
      <c r="M17" s="1">
        <v>143</v>
      </c>
      <c r="N17" s="1">
        <v>63</v>
      </c>
    </row>
    <row r="18" spans="1:14" ht="15" thickBot="1" x14ac:dyDescent="0.4">
      <c r="A18" s="10">
        <v>39873</v>
      </c>
      <c r="B18" s="1">
        <v>801</v>
      </c>
      <c r="C18" s="1">
        <v>5</v>
      </c>
      <c r="D18" s="1">
        <v>93</v>
      </c>
      <c r="E18" s="1">
        <v>499</v>
      </c>
      <c r="F18" s="1">
        <v>812</v>
      </c>
      <c r="G18" s="1">
        <v>5.62</v>
      </c>
      <c r="H18" s="1">
        <v>746</v>
      </c>
      <c r="I18" s="1">
        <v>1</v>
      </c>
      <c r="J18" s="1">
        <v>128</v>
      </c>
      <c r="K18" s="1">
        <v>144</v>
      </c>
      <c r="L18" s="1">
        <v>496</v>
      </c>
      <c r="M18" s="1">
        <v>438</v>
      </c>
      <c r="N18" s="1">
        <v>662</v>
      </c>
    </row>
    <row r="19" spans="1:14" ht="15" thickBot="1" x14ac:dyDescent="0.4">
      <c r="A19" s="10">
        <v>39904</v>
      </c>
      <c r="B19" s="1">
        <v>527</v>
      </c>
      <c r="C19" s="1">
        <v>14</v>
      </c>
      <c r="D19" s="1">
        <v>100</v>
      </c>
      <c r="E19" s="1">
        <v>328</v>
      </c>
      <c r="F19" s="1">
        <v>730</v>
      </c>
      <c r="G19" s="1">
        <v>0</v>
      </c>
      <c r="H19" s="1">
        <v>588</v>
      </c>
      <c r="I19" s="1">
        <v>3</v>
      </c>
      <c r="J19" s="1">
        <v>125</v>
      </c>
      <c r="K19" s="1">
        <v>2031</v>
      </c>
      <c r="L19" s="1">
        <v>140</v>
      </c>
      <c r="M19" s="1">
        <v>28</v>
      </c>
      <c r="N19" s="1">
        <v>200</v>
      </c>
    </row>
    <row r="20" spans="1:14" ht="15" thickBot="1" x14ac:dyDescent="0.4">
      <c r="A20" s="10">
        <v>39934</v>
      </c>
      <c r="B20" s="1">
        <v>607</v>
      </c>
      <c r="C20" s="1">
        <v>2</v>
      </c>
      <c r="D20" s="1">
        <v>88</v>
      </c>
      <c r="E20" s="1">
        <v>344</v>
      </c>
      <c r="F20" s="1">
        <v>403</v>
      </c>
      <c r="G20" s="1">
        <v>2</v>
      </c>
      <c r="H20" s="1">
        <v>440</v>
      </c>
      <c r="I20" s="1">
        <v>6</v>
      </c>
      <c r="J20" s="1">
        <v>176</v>
      </c>
      <c r="K20" s="1">
        <v>637</v>
      </c>
      <c r="L20" s="1">
        <v>292</v>
      </c>
      <c r="M20" s="1">
        <v>411</v>
      </c>
      <c r="N20" s="1">
        <v>502</v>
      </c>
    </row>
    <row r="21" spans="1:14" ht="15" thickBot="1" x14ac:dyDescent="0.4">
      <c r="A21" s="10">
        <v>39965</v>
      </c>
      <c r="B21" s="1">
        <v>679</v>
      </c>
      <c r="C21" s="1">
        <v>8</v>
      </c>
      <c r="D21" s="1">
        <v>152</v>
      </c>
      <c r="E21" s="1">
        <v>322</v>
      </c>
      <c r="F21" s="1">
        <v>916</v>
      </c>
      <c r="G21" s="1">
        <v>0.14000000000000001</v>
      </c>
      <c r="H21" s="1">
        <v>300</v>
      </c>
      <c r="I21" s="1">
        <v>2</v>
      </c>
      <c r="J21" s="1">
        <v>314</v>
      </c>
      <c r="K21" s="1">
        <v>214</v>
      </c>
      <c r="L21" s="1">
        <v>361</v>
      </c>
      <c r="M21" s="1">
        <v>415</v>
      </c>
      <c r="N21" s="1">
        <v>658</v>
      </c>
    </row>
    <row r="22" spans="1:14" ht="15" thickBot="1" x14ac:dyDescent="0.4">
      <c r="A22" s="10">
        <v>39995</v>
      </c>
      <c r="B22" s="1">
        <v>511</v>
      </c>
      <c r="C22" s="1">
        <v>8</v>
      </c>
      <c r="D22" s="1">
        <v>88</v>
      </c>
      <c r="E22" s="1">
        <v>305</v>
      </c>
      <c r="F22" s="1">
        <v>686</v>
      </c>
      <c r="G22" s="1">
        <v>2.9</v>
      </c>
      <c r="H22" s="1">
        <v>260</v>
      </c>
      <c r="I22" s="1">
        <v>2</v>
      </c>
      <c r="J22" s="1">
        <v>361</v>
      </c>
      <c r="K22" s="1">
        <v>318</v>
      </c>
      <c r="L22" s="1">
        <v>1342</v>
      </c>
      <c r="M22" s="1">
        <v>1323</v>
      </c>
      <c r="N22" s="1">
        <v>595</v>
      </c>
    </row>
    <row r="23" spans="1:14" ht="15" thickBot="1" x14ac:dyDescent="0.4">
      <c r="A23" s="10">
        <v>40026</v>
      </c>
      <c r="B23" s="1">
        <v>501</v>
      </c>
      <c r="C23" s="1">
        <v>6</v>
      </c>
      <c r="D23" s="1">
        <v>105</v>
      </c>
      <c r="E23" s="1">
        <v>471</v>
      </c>
      <c r="F23" s="1">
        <v>534</v>
      </c>
      <c r="G23" s="1">
        <v>2.16</v>
      </c>
      <c r="H23" s="1">
        <v>290</v>
      </c>
      <c r="I23" s="1">
        <v>6</v>
      </c>
      <c r="J23" s="1">
        <v>382</v>
      </c>
      <c r="K23" s="1">
        <v>352</v>
      </c>
      <c r="L23" s="1">
        <v>824</v>
      </c>
      <c r="M23" s="1">
        <v>682</v>
      </c>
      <c r="N23" s="1">
        <v>431</v>
      </c>
    </row>
    <row r="24" spans="1:14" ht="15" thickBot="1" x14ac:dyDescent="0.4">
      <c r="A24" s="10">
        <v>40057</v>
      </c>
      <c r="B24" s="1">
        <v>576</v>
      </c>
      <c r="C24" s="1">
        <v>5</v>
      </c>
      <c r="D24" s="1">
        <v>116</v>
      </c>
      <c r="E24" s="1">
        <v>471</v>
      </c>
      <c r="F24" s="1">
        <v>716</v>
      </c>
      <c r="G24" s="1">
        <v>5.4</v>
      </c>
      <c r="H24" s="1">
        <v>545</v>
      </c>
      <c r="I24" s="1">
        <v>6</v>
      </c>
      <c r="J24" s="1">
        <v>268</v>
      </c>
      <c r="K24" s="1">
        <v>168</v>
      </c>
      <c r="L24" s="1">
        <v>711</v>
      </c>
      <c r="M24" s="1">
        <v>384</v>
      </c>
      <c r="N24" s="1">
        <v>439</v>
      </c>
    </row>
    <row r="25" spans="1:14" ht="15" thickBot="1" x14ac:dyDescent="0.4">
      <c r="A25" s="10">
        <v>40087</v>
      </c>
      <c r="B25" s="1">
        <v>523</v>
      </c>
      <c r="C25" s="1">
        <v>2</v>
      </c>
      <c r="D25" s="1">
        <v>72</v>
      </c>
      <c r="E25" s="1">
        <v>358</v>
      </c>
      <c r="F25" s="1">
        <v>442</v>
      </c>
      <c r="G25" s="1">
        <v>11.86</v>
      </c>
      <c r="H25" s="1">
        <v>260</v>
      </c>
      <c r="I25" s="1">
        <v>5</v>
      </c>
      <c r="J25" s="1">
        <v>83</v>
      </c>
      <c r="K25" s="1">
        <v>204</v>
      </c>
      <c r="L25" s="1">
        <v>90</v>
      </c>
      <c r="M25" s="1">
        <v>73</v>
      </c>
      <c r="N25" s="1">
        <v>215</v>
      </c>
    </row>
    <row r="26" spans="1:14" ht="15" thickBot="1" x14ac:dyDescent="0.4">
      <c r="A26" s="10">
        <v>40118</v>
      </c>
      <c r="B26" s="1">
        <v>514</v>
      </c>
      <c r="C26" s="1">
        <v>6</v>
      </c>
      <c r="D26" s="1">
        <v>77</v>
      </c>
      <c r="E26" s="1">
        <v>413</v>
      </c>
      <c r="F26" s="1">
        <v>535</v>
      </c>
      <c r="G26" s="1">
        <v>5.52</v>
      </c>
      <c r="H26" s="1">
        <v>186</v>
      </c>
      <c r="I26" s="1">
        <v>0</v>
      </c>
      <c r="J26" s="1">
        <v>88</v>
      </c>
      <c r="K26" s="1">
        <v>162</v>
      </c>
      <c r="L26" s="1">
        <v>361</v>
      </c>
      <c r="M26" s="1">
        <v>84</v>
      </c>
      <c r="N26" s="1">
        <v>76</v>
      </c>
    </row>
    <row r="27" spans="1:14" ht="15" thickBot="1" x14ac:dyDescent="0.4">
      <c r="A27" s="10">
        <v>40148</v>
      </c>
      <c r="B27" s="1">
        <v>516</v>
      </c>
      <c r="C27" s="1">
        <v>9</v>
      </c>
      <c r="D27" s="1">
        <v>69</v>
      </c>
      <c r="E27" s="1">
        <v>358</v>
      </c>
      <c r="F27" s="1">
        <v>288</v>
      </c>
      <c r="G27" s="1">
        <v>15.24</v>
      </c>
      <c r="H27" s="1">
        <v>100</v>
      </c>
      <c r="I27" s="1">
        <v>2</v>
      </c>
      <c r="J27" s="1">
        <v>70</v>
      </c>
      <c r="K27" s="1">
        <v>46</v>
      </c>
      <c r="L27" s="1">
        <v>416</v>
      </c>
      <c r="M27" s="1">
        <v>43</v>
      </c>
      <c r="N27" s="1">
        <v>70</v>
      </c>
    </row>
    <row r="28" spans="1:14" ht="15" thickBot="1" x14ac:dyDescent="0.4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"/>
    </row>
    <row r="29" spans="1:14" ht="15" thickBot="1" x14ac:dyDescent="0.4">
      <c r="A29" s="20" t="s">
        <v>17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</row>
    <row r="30" spans="1:14" ht="15" thickBot="1" x14ac:dyDescent="0.4">
      <c r="A30" s="8" t="s">
        <v>18</v>
      </c>
      <c r="B30" s="9">
        <v>3.55</v>
      </c>
      <c r="C30" s="9">
        <v>208.38</v>
      </c>
      <c r="D30" s="9">
        <v>13</v>
      </c>
      <c r="E30" s="9">
        <v>3</v>
      </c>
      <c r="F30" s="9">
        <v>2.1800000000000002</v>
      </c>
      <c r="G30" s="9">
        <v>160</v>
      </c>
      <c r="H30" s="9">
        <v>2.19</v>
      </c>
      <c r="I30" s="9">
        <v>280.07</v>
      </c>
      <c r="J30" s="9">
        <v>5.25</v>
      </c>
      <c r="K30" s="9">
        <v>3.48</v>
      </c>
      <c r="L30" s="9">
        <v>0.73</v>
      </c>
      <c r="M30" s="9">
        <v>0.73</v>
      </c>
      <c r="N30" s="9">
        <v>0.17</v>
      </c>
    </row>
    <row r="31" spans="1:14" ht="15" thickBot="1" x14ac:dyDescent="0.4">
      <c r="A31" s="8" t="s">
        <v>19</v>
      </c>
      <c r="B31" s="1">
        <v>0.25</v>
      </c>
      <c r="C31" s="1">
        <v>0.25</v>
      </c>
      <c r="D31" s="1">
        <v>0.25</v>
      </c>
      <c r="E31" s="1">
        <v>0.25</v>
      </c>
      <c r="F31" s="1">
        <v>0.25</v>
      </c>
      <c r="G31" s="1">
        <v>0.25</v>
      </c>
      <c r="H31" s="1">
        <v>0.25</v>
      </c>
      <c r="I31" s="1">
        <v>0.25</v>
      </c>
      <c r="J31" s="1">
        <v>0.25</v>
      </c>
      <c r="K31" s="1">
        <v>0.25</v>
      </c>
      <c r="L31" s="1">
        <v>0.25</v>
      </c>
      <c r="M31" s="1">
        <v>0.25</v>
      </c>
      <c r="N31" s="1">
        <v>0.25</v>
      </c>
    </row>
    <row r="32" spans="1:14" ht="15" thickBot="1" x14ac:dyDescent="0.4">
      <c r="A32" s="8" t="s">
        <v>20</v>
      </c>
      <c r="B32" s="1">
        <v>304.70999999999998</v>
      </c>
      <c r="C32" s="1">
        <v>160.35</v>
      </c>
      <c r="D32" s="1">
        <v>181.2</v>
      </c>
      <c r="E32" s="1">
        <v>207.56</v>
      </c>
      <c r="F32" s="1">
        <v>258.41000000000003</v>
      </c>
      <c r="G32" s="1">
        <v>105.39</v>
      </c>
      <c r="H32" s="1">
        <v>146.02000000000001</v>
      </c>
      <c r="I32" s="1">
        <v>132.33000000000001</v>
      </c>
      <c r="J32" s="1">
        <v>129.24</v>
      </c>
      <c r="K32" s="1">
        <v>181.23</v>
      </c>
      <c r="L32" s="1">
        <v>50.97</v>
      </c>
      <c r="M32" s="1">
        <v>34.44</v>
      </c>
      <c r="N32" s="1">
        <v>12.19</v>
      </c>
    </row>
    <row r="33" spans="1:14" ht="15" thickBot="1" x14ac:dyDescent="0.4">
      <c r="A33" s="8" t="s">
        <v>21</v>
      </c>
      <c r="B33" s="1">
        <v>10</v>
      </c>
      <c r="C33" s="1">
        <v>14</v>
      </c>
      <c r="D33" s="1">
        <v>5</v>
      </c>
      <c r="E33" s="1">
        <v>10</v>
      </c>
      <c r="F33" s="1">
        <v>7</v>
      </c>
      <c r="G33" s="1">
        <v>7</v>
      </c>
      <c r="H33" s="1">
        <v>4</v>
      </c>
      <c r="I33" s="1">
        <v>7</v>
      </c>
      <c r="J33" s="1">
        <v>6</v>
      </c>
      <c r="K33" s="1">
        <v>4</v>
      </c>
      <c r="L33" s="1">
        <v>10</v>
      </c>
      <c r="M33" s="1">
        <v>10</v>
      </c>
      <c r="N33" s="1">
        <v>10</v>
      </c>
    </row>
  </sheetData>
  <mergeCells count="2">
    <mergeCell ref="A1:N1"/>
    <mergeCell ref="A29:N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B4438F-082D-4AF4-9F53-7E263567171A}">
  <dimension ref="A1:AJ45"/>
  <sheetViews>
    <sheetView topLeftCell="A27" zoomScale="75" workbookViewId="0">
      <selection activeCell="A37" sqref="A37:N37"/>
    </sheetView>
  </sheetViews>
  <sheetFormatPr defaultRowHeight="14.5" x14ac:dyDescent="0.35"/>
  <cols>
    <col min="1" max="1" width="14.6328125" customWidth="1"/>
    <col min="11" max="12" width="11.90625" customWidth="1"/>
    <col min="13" max="13" width="10.6328125" customWidth="1"/>
    <col min="14" max="14" width="12.453125" customWidth="1"/>
    <col min="15" max="15" width="19.36328125" customWidth="1"/>
  </cols>
  <sheetData>
    <row r="1" spans="1:14" ht="15" thickBot="1" x14ac:dyDescent="0.4">
      <c r="A1" s="17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9"/>
    </row>
    <row r="2" spans="1:14" ht="18" customHeight="1" thickBot="1" x14ac:dyDescent="0.4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</row>
    <row r="3" spans="1:14" ht="21" customHeight="1" thickBot="1" x14ac:dyDescent="0.4">
      <c r="A3" s="6" t="s">
        <v>15</v>
      </c>
      <c r="B3" s="7" t="s">
        <v>16</v>
      </c>
      <c r="C3" s="7" t="s">
        <v>16</v>
      </c>
      <c r="D3" s="7" t="s">
        <v>16</v>
      </c>
      <c r="E3" s="7" t="s">
        <v>16</v>
      </c>
      <c r="F3" s="7" t="s">
        <v>16</v>
      </c>
      <c r="G3" s="7" t="s">
        <v>16</v>
      </c>
      <c r="H3" s="7" t="s">
        <v>16</v>
      </c>
      <c r="I3" s="7" t="s">
        <v>16</v>
      </c>
      <c r="J3" s="7" t="s">
        <v>16</v>
      </c>
      <c r="K3" s="7" t="s">
        <v>16</v>
      </c>
      <c r="L3" s="7" t="s">
        <v>16</v>
      </c>
      <c r="M3" s="7" t="s">
        <v>16</v>
      </c>
      <c r="N3" s="7" t="s">
        <v>16</v>
      </c>
    </row>
    <row r="4" spans="1:14" ht="15" thickBot="1" x14ac:dyDescent="0.4">
      <c r="A4" s="10">
        <v>39448</v>
      </c>
      <c r="B4" s="1">
        <v>0</v>
      </c>
      <c r="C4" s="1">
        <v>0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</row>
    <row r="5" spans="1:14" ht="15" thickBot="1" x14ac:dyDescent="0.4">
      <c r="A5" s="10">
        <v>39479</v>
      </c>
      <c r="B5" s="1">
        <v>390</v>
      </c>
      <c r="C5" s="1">
        <v>0</v>
      </c>
      <c r="D5" s="1">
        <v>69</v>
      </c>
      <c r="E5" s="1">
        <v>455</v>
      </c>
      <c r="F5" s="1">
        <v>786</v>
      </c>
      <c r="G5" s="1">
        <v>5.34</v>
      </c>
      <c r="H5" s="1">
        <v>279</v>
      </c>
      <c r="I5" s="1">
        <v>4</v>
      </c>
      <c r="J5" s="1">
        <v>47</v>
      </c>
      <c r="K5" s="1">
        <v>94</v>
      </c>
      <c r="L5" s="1">
        <v>162</v>
      </c>
      <c r="M5" s="1">
        <v>150</v>
      </c>
      <c r="N5" s="1">
        <v>129</v>
      </c>
    </row>
    <row r="6" spans="1:14" ht="15" thickBot="1" x14ac:dyDescent="0.4">
      <c r="A6" s="10">
        <v>39508</v>
      </c>
      <c r="B6" s="1">
        <v>654</v>
      </c>
      <c r="C6" s="1">
        <v>0</v>
      </c>
      <c r="D6" s="1">
        <v>89</v>
      </c>
      <c r="E6" s="1">
        <v>749</v>
      </c>
      <c r="F6" s="1">
        <v>900</v>
      </c>
      <c r="G6" s="1">
        <v>3.84</v>
      </c>
      <c r="H6" s="1">
        <v>649</v>
      </c>
      <c r="I6" s="1">
        <v>6</v>
      </c>
      <c r="J6" s="1">
        <v>108</v>
      </c>
      <c r="K6" s="1">
        <v>174</v>
      </c>
      <c r="L6" s="1">
        <v>677</v>
      </c>
      <c r="M6" s="1">
        <v>202</v>
      </c>
      <c r="N6" s="1">
        <v>1312</v>
      </c>
    </row>
    <row r="7" spans="1:14" ht="15" thickBot="1" x14ac:dyDescent="0.4">
      <c r="A7" s="10">
        <v>39539</v>
      </c>
      <c r="B7" s="1">
        <v>420</v>
      </c>
      <c r="C7" s="1">
        <v>0</v>
      </c>
      <c r="D7" s="1">
        <v>76</v>
      </c>
      <c r="E7" s="1">
        <v>494</v>
      </c>
      <c r="F7" s="1">
        <v>782</v>
      </c>
      <c r="G7" s="1">
        <v>0.54</v>
      </c>
      <c r="H7" s="1">
        <v>535</v>
      </c>
      <c r="I7" s="1">
        <v>2</v>
      </c>
      <c r="J7" s="1">
        <v>99</v>
      </c>
      <c r="K7" s="1">
        <v>872</v>
      </c>
      <c r="L7" s="1">
        <v>458</v>
      </c>
      <c r="M7" s="1">
        <v>403</v>
      </c>
      <c r="N7" s="1">
        <v>167</v>
      </c>
    </row>
    <row r="8" spans="1:14" ht="15" thickBot="1" x14ac:dyDescent="0.4">
      <c r="A8" s="10">
        <v>39569</v>
      </c>
      <c r="B8" s="1">
        <v>421</v>
      </c>
      <c r="C8" s="1">
        <v>0</v>
      </c>
      <c r="D8" s="1">
        <v>100</v>
      </c>
      <c r="E8" s="1">
        <v>279</v>
      </c>
      <c r="F8" s="1">
        <v>1488</v>
      </c>
      <c r="G8" s="1">
        <v>1.38</v>
      </c>
      <c r="H8" s="1">
        <v>1907</v>
      </c>
      <c r="I8" s="1">
        <v>2</v>
      </c>
      <c r="J8" s="1">
        <v>102</v>
      </c>
      <c r="K8" s="1">
        <v>158</v>
      </c>
      <c r="L8" s="1">
        <v>655</v>
      </c>
      <c r="M8" s="1">
        <v>582</v>
      </c>
      <c r="N8" s="1">
        <v>707</v>
      </c>
    </row>
    <row r="9" spans="1:14" ht="15" thickBot="1" x14ac:dyDescent="0.4">
      <c r="A9" s="10">
        <v>39600</v>
      </c>
      <c r="B9" s="1">
        <v>704</v>
      </c>
      <c r="C9" s="1">
        <v>0</v>
      </c>
      <c r="D9" s="1">
        <v>154</v>
      </c>
      <c r="E9" s="1">
        <v>487</v>
      </c>
      <c r="F9" s="1">
        <v>1310</v>
      </c>
      <c r="G9" s="1">
        <v>3.58</v>
      </c>
      <c r="H9" s="1">
        <v>553</v>
      </c>
      <c r="I9" s="1">
        <v>4</v>
      </c>
      <c r="J9" s="1">
        <v>188</v>
      </c>
      <c r="K9" s="1">
        <v>1449</v>
      </c>
      <c r="L9" s="1">
        <v>334</v>
      </c>
      <c r="M9" s="1">
        <v>145</v>
      </c>
      <c r="N9" s="1">
        <v>160</v>
      </c>
    </row>
    <row r="10" spans="1:14" ht="15" thickBot="1" x14ac:dyDescent="0.4">
      <c r="A10" s="10">
        <v>39630</v>
      </c>
      <c r="B10" s="1">
        <v>686</v>
      </c>
      <c r="C10" s="1">
        <v>2</v>
      </c>
      <c r="D10" s="1">
        <v>96</v>
      </c>
      <c r="E10" s="1">
        <v>1102</v>
      </c>
      <c r="F10" s="1">
        <v>934</v>
      </c>
      <c r="G10" s="1">
        <v>0.28000000000000003</v>
      </c>
      <c r="H10" s="1">
        <v>418</v>
      </c>
      <c r="I10" s="1">
        <v>5</v>
      </c>
      <c r="J10" s="1">
        <v>394</v>
      </c>
      <c r="K10" s="1">
        <v>215</v>
      </c>
      <c r="L10" s="1">
        <v>282</v>
      </c>
      <c r="M10" s="1">
        <v>320</v>
      </c>
      <c r="N10" s="1">
        <v>1482</v>
      </c>
    </row>
    <row r="11" spans="1:14" ht="15" thickBot="1" x14ac:dyDescent="0.4">
      <c r="A11" s="10">
        <v>39661</v>
      </c>
      <c r="B11" s="1">
        <v>441</v>
      </c>
      <c r="C11" s="1">
        <v>4</v>
      </c>
      <c r="D11" s="1">
        <v>112</v>
      </c>
      <c r="E11" s="1">
        <v>432</v>
      </c>
      <c r="F11" s="1">
        <v>1078</v>
      </c>
      <c r="G11" s="1">
        <v>0.22</v>
      </c>
      <c r="H11" s="1">
        <v>358</v>
      </c>
      <c r="I11" s="1">
        <v>2</v>
      </c>
      <c r="J11" s="1">
        <v>201</v>
      </c>
      <c r="K11" s="1">
        <v>94</v>
      </c>
      <c r="L11" s="1">
        <v>392</v>
      </c>
      <c r="M11" s="1">
        <v>224</v>
      </c>
      <c r="N11" s="1">
        <v>788</v>
      </c>
    </row>
    <row r="12" spans="1:14" ht="15" thickBot="1" x14ac:dyDescent="0.4">
      <c r="A12" s="10">
        <v>39692</v>
      </c>
      <c r="B12" s="1">
        <v>624</v>
      </c>
      <c r="C12" s="1">
        <v>10</v>
      </c>
      <c r="D12" s="1">
        <v>103</v>
      </c>
      <c r="E12" s="1">
        <v>458</v>
      </c>
      <c r="F12" s="1">
        <v>1273</v>
      </c>
      <c r="G12" s="1">
        <v>4.9400000000000004</v>
      </c>
      <c r="H12" s="1">
        <v>337</v>
      </c>
      <c r="I12" s="1">
        <v>2</v>
      </c>
      <c r="J12" s="1">
        <v>179</v>
      </c>
      <c r="K12" s="1">
        <v>116</v>
      </c>
      <c r="L12" s="1">
        <v>1061</v>
      </c>
      <c r="M12" s="1">
        <v>406</v>
      </c>
      <c r="N12" s="1">
        <v>471</v>
      </c>
    </row>
    <row r="13" spans="1:14" ht="15" thickBot="1" x14ac:dyDescent="0.4">
      <c r="A13" s="10">
        <v>39722</v>
      </c>
      <c r="B13" s="1">
        <v>453</v>
      </c>
      <c r="C13" s="1">
        <v>3</v>
      </c>
      <c r="D13" s="1">
        <v>65</v>
      </c>
      <c r="E13" s="1">
        <v>437</v>
      </c>
      <c r="F13" s="1">
        <v>835</v>
      </c>
      <c r="G13" s="1">
        <v>3</v>
      </c>
      <c r="H13" s="1">
        <v>318</v>
      </c>
      <c r="I13" s="1">
        <v>3</v>
      </c>
      <c r="J13" s="1">
        <v>106</v>
      </c>
      <c r="K13" s="1">
        <v>70</v>
      </c>
      <c r="L13" s="1">
        <v>178</v>
      </c>
      <c r="M13" s="1">
        <v>158</v>
      </c>
      <c r="N13" s="1">
        <v>76</v>
      </c>
    </row>
    <row r="14" spans="1:14" ht="15" thickBot="1" x14ac:dyDescent="0.4">
      <c r="A14" s="10">
        <v>39753</v>
      </c>
      <c r="B14" s="1">
        <v>573</v>
      </c>
      <c r="C14" s="1">
        <v>6</v>
      </c>
      <c r="D14" s="1">
        <v>69</v>
      </c>
      <c r="E14" s="1">
        <v>352</v>
      </c>
      <c r="F14" s="1">
        <v>817</v>
      </c>
      <c r="G14" s="1">
        <v>3.9</v>
      </c>
      <c r="H14" s="1">
        <v>207</v>
      </c>
      <c r="I14" s="1">
        <v>1</v>
      </c>
      <c r="J14" s="1">
        <v>70</v>
      </c>
      <c r="K14" s="1">
        <v>41</v>
      </c>
      <c r="L14" s="1">
        <v>327</v>
      </c>
      <c r="M14" s="1">
        <v>199</v>
      </c>
      <c r="N14" s="1">
        <v>38</v>
      </c>
    </row>
    <row r="15" spans="1:14" ht="15" thickBot="1" x14ac:dyDescent="0.4">
      <c r="A15" s="10">
        <v>39783</v>
      </c>
      <c r="B15" s="1">
        <v>508</v>
      </c>
      <c r="C15" s="1">
        <v>12</v>
      </c>
      <c r="D15" s="1">
        <v>56</v>
      </c>
      <c r="E15" s="1">
        <v>379</v>
      </c>
      <c r="F15" s="1">
        <v>373</v>
      </c>
      <c r="G15" s="1">
        <v>2.82</v>
      </c>
      <c r="H15" s="1">
        <v>124</v>
      </c>
      <c r="I15" s="1">
        <v>3</v>
      </c>
      <c r="J15" s="1">
        <v>74</v>
      </c>
      <c r="K15" s="1">
        <v>55</v>
      </c>
      <c r="L15" s="1">
        <v>316</v>
      </c>
      <c r="M15" s="1">
        <v>132</v>
      </c>
      <c r="N15" s="1">
        <v>226</v>
      </c>
    </row>
    <row r="16" spans="1:14" ht="15" thickBot="1" x14ac:dyDescent="0.4">
      <c r="A16" s="10">
        <v>39814</v>
      </c>
      <c r="B16" s="1">
        <v>602</v>
      </c>
      <c r="C16" s="1">
        <v>10</v>
      </c>
      <c r="D16" s="1">
        <v>61</v>
      </c>
      <c r="E16" s="1">
        <v>463</v>
      </c>
      <c r="F16" s="1">
        <v>348</v>
      </c>
      <c r="G16" s="1">
        <v>4.82</v>
      </c>
      <c r="H16" s="1">
        <v>243</v>
      </c>
      <c r="I16" s="1">
        <v>0</v>
      </c>
      <c r="J16" s="1">
        <v>54</v>
      </c>
      <c r="K16" s="1">
        <v>67</v>
      </c>
      <c r="L16" s="1">
        <v>265</v>
      </c>
      <c r="M16" s="1">
        <v>44</v>
      </c>
      <c r="N16" s="1">
        <v>1153</v>
      </c>
    </row>
    <row r="17" spans="1:36" ht="15" thickBot="1" x14ac:dyDescent="0.4">
      <c r="A17" s="10">
        <v>39845</v>
      </c>
      <c r="B17" s="1">
        <v>485</v>
      </c>
      <c r="C17" s="1">
        <v>2</v>
      </c>
      <c r="D17" s="1">
        <v>55</v>
      </c>
      <c r="E17" s="1">
        <v>294</v>
      </c>
      <c r="F17" s="1">
        <v>575</v>
      </c>
      <c r="G17" s="1">
        <v>12.08</v>
      </c>
      <c r="H17" s="1">
        <v>235</v>
      </c>
      <c r="I17" s="1">
        <v>3</v>
      </c>
      <c r="J17" s="1">
        <v>30</v>
      </c>
      <c r="K17" s="1">
        <v>34</v>
      </c>
      <c r="L17" s="1">
        <v>203</v>
      </c>
      <c r="M17" s="1">
        <v>143</v>
      </c>
      <c r="N17" s="1">
        <v>63</v>
      </c>
    </row>
    <row r="18" spans="1:36" ht="15" thickBot="1" x14ac:dyDescent="0.4">
      <c r="A18" s="10">
        <v>39873</v>
      </c>
      <c r="B18" s="1">
        <v>801</v>
      </c>
      <c r="C18" s="1">
        <v>5</v>
      </c>
      <c r="D18" s="1">
        <v>93</v>
      </c>
      <c r="E18" s="1">
        <v>499</v>
      </c>
      <c r="F18" s="1">
        <v>812</v>
      </c>
      <c r="G18" s="1">
        <v>5.62</v>
      </c>
      <c r="H18" s="1">
        <v>746</v>
      </c>
      <c r="I18" s="1">
        <v>1</v>
      </c>
      <c r="J18" s="1">
        <v>128</v>
      </c>
      <c r="K18" s="1">
        <v>144</v>
      </c>
      <c r="L18" s="1">
        <v>496</v>
      </c>
      <c r="M18" s="1">
        <v>438</v>
      </c>
      <c r="N18" s="1">
        <v>662</v>
      </c>
    </row>
    <row r="19" spans="1:36" ht="15" thickBot="1" x14ac:dyDescent="0.4">
      <c r="A19" s="10">
        <v>39904</v>
      </c>
      <c r="B19" s="1">
        <v>527</v>
      </c>
      <c r="C19" s="1">
        <v>14</v>
      </c>
      <c r="D19" s="1">
        <v>100</v>
      </c>
      <c r="E19" s="1">
        <v>328</v>
      </c>
      <c r="F19" s="1">
        <v>730</v>
      </c>
      <c r="G19" s="1">
        <v>0</v>
      </c>
      <c r="H19" s="1">
        <v>588</v>
      </c>
      <c r="I19" s="1">
        <v>3</v>
      </c>
      <c r="J19" s="1">
        <v>125</v>
      </c>
      <c r="K19" s="1">
        <v>2031</v>
      </c>
      <c r="L19" s="1">
        <v>140</v>
      </c>
      <c r="M19" s="1">
        <v>28</v>
      </c>
      <c r="N19" s="1">
        <v>200</v>
      </c>
      <c r="AB19" s="26" t="s">
        <v>37</v>
      </c>
      <c r="AC19" s="26"/>
      <c r="AD19" s="26"/>
      <c r="AE19" s="26"/>
      <c r="AF19" s="26"/>
      <c r="AG19" s="26"/>
      <c r="AH19" s="26"/>
      <c r="AI19" s="26"/>
      <c r="AJ19" s="26"/>
    </row>
    <row r="20" spans="1:36" ht="15" thickBot="1" x14ac:dyDescent="0.4">
      <c r="A20" s="10">
        <v>39934</v>
      </c>
      <c r="B20" s="1">
        <v>607</v>
      </c>
      <c r="C20" s="1">
        <v>2</v>
      </c>
      <c r="D20" s="1">
        <v>88</v>
      </c>
      <c r="E20" s="1">
        <v>344</v>
      </c>
      <c r="F20" s="1">
        <v>403</v>
      </c>
      <c r="G20" s="1">
        <v>2</v>
      </c>
      <c r="H20" s="1">
        <v>440</v>
      </c>
      <c r="I20" s="1">
        <v>6</v>
      </c>
      <c r="J20" s="1">
        <v>176</v>
      </c>
      <c r="K20" s="1">
        <v>637</v>
      </c>
      <c r="L20" s="1">
        <v>292</v>
      </c>
      <c r="M20" s="1">
        <v>411</v>
      </c>
      <c r="N20" s="1">
        <v>502</v>
      </c>
    </row>
    <row r="21" spans="1:36" ht="15" thickBot="1" x14ac:dyDescent="0.4">
      <c r="A21" s="10">
        <v>39965</v>
      </c>
      <c r="B21" s="1">
        <v>679</v>
      </c>
      <c r="C21" s="1">
        <v>8</v>
      </c>
      <c r="D21" s="1">
        <v>152</v>
      </c>
      <c r="E21" s="1">
        <v>322</v>
      </c>
      <c r="F21" s="1">
        <v>916</v>
      </c>
      <c r="G21" s="1">
        <v>0.14000000000000001</v>
      </c>
      <c r="H21" s="1">
        <v>300</v>
      </c>
      <c r="I21" s="1">
        <v>2</v>
      </c>
      <c r="J21" s="1">
        <v>314</v>
      </c>
      <c r="K21" s="1">
        <v>214</v>
      </c>
      <c r="L21" s="1">
        <v>361</v>
      </c>
      <c r="M21" s="1">
        <v>415</v>
      </c>
      <c r="N21" s="1">
        <v>658</v>
      </c>
    </row>
    <row r="22" spans="1:36" ht="15" thickBot="1" x14ac:dyDescent="0.4">
      <c r="A22" s="10">
        <v>39995</v>
      </c>
      <c r="B22" s="1">
        <v>511</v>
      </c>
      <c r="C22" s="1">
        <v>8</v>
      </c>
      <c r="D22" s="1">
        <v>88</v>
      </c>
      <c r="E22" s="1">
        <v>305</v>
      </c>
      <c r="F22" s="1">
        <v>686</v>
      </c>
      <c r="G22" s="1">
        <v>2.9</v>
      </c>
      <c r="H22" s="1">
        <v>260</v>
      </c>
      <c r="I22" s="1">
        <v>2</v>
      </c>
      <c r="J22" s="1">
        <v>361</v>
      </c>
      <c r="K22" s="1">
        <v>318</v>
      </c>
      <c r="L22" s="1">
        <v>1342</v>
      </c>
      <c r="M22" s="1">
        <v>1323</v>
      </c>
      <c r="N22" s="1">
        <v>595</v>
      </c>
    </row>
    <row r="23" spans="1:36" ht="15" thickBot="1" x14ac:dyDescent="0.4">
      <c r="A23" s="10">
        <v>40026</v>
      </c>
      <c r="B23" s="1">
        <v>501</v>
      </c>
      <c r="C23" s="1">
        <v>6</v>
      </c>
      <c r="D23" s="1">
        <v>105</v>
      </c>
      <c r="E23" s="1">
        <v>471</v>
      </c>
      <c r="F23" s="1">
        <v>534</v>
      </c>
      <c r="G23" s="1">
        <v>2.16</v>
      </c>
      <c r="H23" s="1">
        <v>290</v>
      </c>
      <c r="I23" s="1">
        <v>6</v>
      </c>
      <c r="J23" s="1">
        <v>382</v>
      </c>
      <c r="K23" s="1">
        <v>352</v>
      </c>
      <c r="L23" s="1">
        <v>824</v>
      </c>
      <c r="M23" s="1">
        <v>682</v>
      </c>
      <c r="N23" s="1">
        <v>431</v>
      </c>
    </row>
    <row r="24" spans="1:36" ht="15" thickBot="1" x14ac:dyDescent="0.4">
      <c r="A24" s="10">
        <v>40057</v>
      </c>
      <c r="B24" s="1">
        <v>576</v>
      </c>
      <c r="C24" s="1">
        <v>5</v>
      </c>
      <c r="D24" s="1">
        <v>116</v>
      </c>
      <c r="E24" s="1">
        <v>471</v>
      </c>
      <c r="F24" s="1">
        <v>716</v>
      </c>
      <c r="G24" s="1">
        <v>5.4</v>
      </c>
      <c r="H24" s="1">
        <v>545</v>
      </c>
      <c r="I24" s="1">
        <v>6</v>
      </c>
      <c r="J24" s="1">
        <v>268</v>
      </c>
      <c r="K24" s="1">
        <v>168</v>
      </c>
      <c r="L24" s="1">
        <v>711</v>
      </c>
      <c r="M24" s="1">
        <v>384</v>
      </c>
      <c r="N24" s="1">
        <v>439</v>
      </c>
    </row>
    <row r="25" spans="1:36" ht="15" thickBot="1" x14ac:dyDescent="0.4">
      <c r="A25" s="10">
        <v>40087</v>
      </c>
      <c r="B25" s="1">
        <v>523</v>
      </c>
      <c r="C25" s="1">
        <v>2</v>
      </c>
      <c r="D25" s="1">
        <v>72</v>
      </c>
      <c r="E25" s="1">
        <v>358</v>
      </c>
      <c r="F25" s="1">
        <v>442</v>
      </c>
      <c r="G25" s="1">
        <v>11.86</v>
      </c>
      <c r="H25" s="1">
        <v>260</v>
      </c>
      <c r="I25" s="1">
        <v>5</v>
      </c>
      <c r="J25" s="1">
        <v>83</v>
      </c>
      <c r="K25" s="1">
        <v>204</v>
      </c>
      <c r="L25" s="1">
        <v>90</v>
      </c>
      <c r="M25" s="1">
        <v>73</v>
      </c>
      <c r="N25" s="1">
        <v>215</v>
      </c>
    </row>
    <row r="26" spans="1:36" ht="15" thickBot="1" x14ac:dyDescent="0.4">
      <c r="A26" s="10">
        <v>40118</v>
      </c>
      <c r="B26" s="1">
        <v>514</v>
      </c>
      <c r="C26" s="1">
        <v>6</v>
      </c>
      <c r="D26" s="1">
        <v>77</v>
      </c>
      <c r="E26" s="1">
        <v>413</v>
      </c>
      <c r="F26" s="1">
        <v>535</v>
      </c>
      <c r="G26" s="1">
        <v>5.52</v>
      </c>
      <c r="H26" s="1">
        <v>186</v>
      </c>
      <c r="I26" s="1">
        <v>0</v>
      </c>
      <c r="J26" s="1">
        <v>88</v>
      </c>
      <c r="K26" s="1">
        <v>162</v>
      </c>
      <c r="L26" s="1">
        <v>361</v>
      </c>
      <c r="M26" s="1">
        <v>84</v>
      </c>
      <c r="N26" s="1">
        <v>76</v>
      </c>
    </row>
    <row r="27" spans="1:36" ht="15" thickBot="1" x14ac:dyDescent="0.4">
      <c r="A27" s="10">
        <v>40148</v>
      </c>
      <c r="B27" s="1">
        <v>516</v>
      </c>
      <c r="C27" s="1">
        <v>9</v>
      </c>
      <c r="D27" s="1">
        <v>69</v>
      </c>
      <c r="E27" s="1">
        <v>358</v>
      </c>
      <c r="F27" s="1">
        <v>288</v>
      </c>
      <c r="G27" s="1">
        <v>15.24</v>
      </c>
      <c r="H27" s="1">
        <v>100</v>
      </c>
      <c r="I27" s="1">
        <v>2</v>
      </c>
      <c r="J27" s="1">
        <v>70</v>
      </c>
      <c r="K27" s="1">
        <v>46</v>
      </c>
      <c r="L27" s="1">
        <v>416</v>
      </c>
      <c r="M27" s="1">
        <v>43</v>
      </c>
      <c r="N27" s="1">
        <v>70</v>
      </c>
    </row>
    <row r="28" spans="1:36" ht="15" thickBot="1" x14ac:dyDescent="0.4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1"/>
    </row>
    <row r="29" spans="1:36" ht="15" thickBot="1" x14ac:dyDescent="0.4">
      <c r="A29" s="20" t="s">
        <v>17</v>
      </c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2"/>
    </row>
    <row r="30" spans="1:36" ht="15" thickBot="1" x14ac:dyDescent="0.4">
      <c r="A30" s="8" t="s">
        <v>18</v>
      </c>
      <c r="B30" s="14">
        <v>3.55</v>
      </c>
      <c r="C30" s="14">
        <v>208.38</v>
      </c>
      <c r="D30" s="14">
        <v>13</v>
      </c>
      <c r="E30" s="14">
        <v>3</v>
      </c>
      <c r="F30" s="14">
        <v>2.1800000000000002</v>
      </c>
      <c r="G30" s="14">
        <v>160</v>
      </c>
      <c r="H30" s="14">
        <v>2.19</v>
      </c>
      <c r="I30" s="14">
        <v>280.07</v>
      </c>
      <c r="J30" s="14">
        <v>5.25</v>
      </c>
      <c r="K30" s="14">
        <v>3.48</v>
      </c>
      <c r="L30" s="14">
        <v>0.73</v>
      </c>
      <c r="M30" s="14">
        <v>0.73</v>
      </c>
      <c r="N30" s="14">
        <v>0.17</v>
      </c>
    </row>
    <row r="31" spans="1:36" ht="15" thickBot="1" x14ac:dyDescent="0.4">
      <c r="A31" s="8" t="s">
        <v>19</v>
      </c>
      <c r="B31" s="1">
        <v>0.25</v>
      </c>
      <c r="C31" s="1">
        <v>0.25</v>
      </c>
      <c r="D31" s="1">
        <v>0.25</v>
      </c>
      <c r="E31" s="1">
        <v>0.25</v>
      </c>
      <c r="F31" s="1">
        <v>0.25</v>
      </c>
      <c r="G31" s="1">
        <v>0.25</v>
      </c>
      <c r="H31" s="1">
        <v>0.25</v>
      </c>
      <c r="I31" s="1">
        <v>0.25</v>
      </c>
      <c r="J31" s="1">
        <v>0.25</v>
      </c>
      <c r="K31" s="1">
        <v>0.25</v>
      </c>
      <c r="L31" s="1">
        <v>0.25</v>
      </c>
      <c r="M31" s="1">
        <v>0.25</v>
      </c>
      <c r="N31" s="1">
        <v>0.25</v>
      </c>
    </row>
    <row r="32" spans="1:36" ht="15" thickBot="1" x14ac:dyDescent="0.4">
      <c r="A32" s="8" t="s">
        <v>20</v>
      </c>
      <c r="B32" s="1">
        <v>304.70999999999998</v>
      </c>
      <c r="C32" s="1">
        <v>160.35</v>
      </c>
      <c r="D32" s="1">
        <v>181.2</v>
      </c>
      <c r="E32" s="1">
        <v>207.56</v>
      </c>
      <c r="F32" s="1">
        <v>258.41000000000003</v>
      </c>
      <c r="G32" s="1">
        <v>105.39</v>
      </c>
      <c r="H32" s="1">
        <v>146.02000000000001</v>
      </c>
      <c r="I32" s="1">
        <v>132.33000000000001</v>
      </c>
      <c r="J32" s="1">
        <v>129.24</v>
      </c>
      <c r="K32" s="1">
        <v>181.23</v>
      </c>
      <c r="L32" s="1">
        <v>50.97</v>
      </c>
      <c r="M32" s="1">
        <v>34.44</v>
      </c>
      <c r="N32" s="1">
        <v>12.19</v>
      </c>
    </row>
    <row r="33" spans="1:14" ht="15" thickBot="1" x14ac:dyDescent="0.4">
      <c r="A33" s="8" t="s">
        <v>21</v>
      </c>
      <c r="B33" s="1">
        <v>10</v>
      </c>
      <c r="C33" s="1">
        <v>14</v>
      </c>
      <c r="D33" s="1">
        <v>5</v>
      </c>
      <c r="E33" s="1">
        <v>10</v>
      </c>
      <c r="F33" s="1">
        <v>7</v>
      </c>
      <c r="G33" s="1">
        <v>7</v>
      </c>
      <c r="H33" s="1">
        <v>4</v>
      </c>
      <c r="I33" s="1">
        <v>7</v>
      </c>
      <c r="J33" s="1">
        <v>6</v>
      </c>
      <c r="K33" s="1">
        <v>4</v>
      </c>
      <c r="L33" s="1">
        <v>10</v>
      </c>
      <c r="M33" s="1">
        <v>10</v>
      </c>
      <c r="N33" s="1">
        <v>10</v>
      </c>
    </row>
    <row r="34" spans="1:14" x14ac:dyDescent="0.35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</row>
    <row r="35" spans="1:14" x14ac:dyDescent="0.35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</row>
    <row r="36" spans="1:14" x14ac:dyDescent="0.35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</row>
    <row r="37" spans="1:14" ht="17.5" customHeight="1" x14ac:dyDescent="0.35">
      <c r="A37" s="23" t="s">
        <v>30</v>
      </c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5"/>
    </row>
    <row r="38" spans="1:14" x14ac:dyDescent="0.35">
      <c r="A38" s="15" t="s">
        <v>28</v>
      </c>
      <c r="B38" s="16">
        <f>AVERAGE(B4:B27)</f>
        <v>529.83333333333337</v>
      </c>
      <c r="C38" s="16">
        <f t="shared" ref="C38:M38" si="0">AVERAGE(C4:C27)</f>
        <v>4.75</v>
      </c>
      <c r="D38" s="16">
        <f t="shared" si="0"/>
        <v>86.041666666666671</v>
      </c>
      <c r="E38" s="16">
        <f t="shared" si="0"/>
        <v>427.08333333333331</v>
      </c>
      <c r="F38" s="16">
        <f t="shared" si="0"/>
        <v>731.70833333333337</v>
      </c>
      <c r="G38" s="16">
        <f t="shared" si="0"/>
        <v>4.065833333333333</v>
      </c>
      <c r="H38" s="16">
        <f t="shared" si="0"/>
        <v>411.58333333333331</v>
      </c>
      <c r="I38" s="16">
        <f t="shared" si="0"/>
        <v>2.9166666666666665</v>
      </c>
      <c r="J38" s="16">
        <f t="shared" si="0"/>
        <v>151.95833333333334</v>
      </c>
      <c r="K38" s="16">
        <f t="shared" si="0"/>
        <v>321.45833333333331</v>
      </c>
      <c r="L38" s="16">
        <f t="shared" si="0"/>
        <v>430.95833333333331</v>
      </c>
      <c r="M38" s="16">
        <f t="shared" si="0"/>
        <v>291.20833333333331</v>
      </c>
      <c r="N38" s="16">
        <f>AVERAGE(N4:N27)</f>
        <v>442.5</v>
      </c>
    </row>
    <row r="39" spans="1:14" x14ac:dyDescent="0.35">
      <c r="A39" s="15" t="s">
        <v>29</v>
      </c>
      <c r="B39" s="16">
        <f>MAX(B4:B27)</f>
        <v>801</v>
      </c>
      <c r="C39" s="16">
        <f t="shared" ref="C39:N39" si="1">MAX(C4:C27)</f>
        <v>14</v>
      </c>
      <c r="D39" s="16">
        <f t="shared" si="1"/>
        <v>154</v>
      </c>
      <c r="E39" s="16">
        <f t="shared" si="1"/>
        <v>1102</v>
      </c>
      <c r="F39" s="16">
        <f t="shared" si="1"/>
        <v>1488</v>
      </c>
      <c r="G39" s="16">
        <f t="shared" si="1"/>
        <v>15.24</v>
      </c>
      <c r="H39" s="16">
        <f t="shared" si="1"/>
        <v>1907</v>
      </c>
      <c r="I39" s="16">
        <f t="shared" si="1"/>
        <v>6</v>
      </c>
      <c r="J39" s="16">
        <f t="shared" si="1"/>
        <v>394</v>
      </c>
      <c r="K39" s="16">
        <f t="shared" si="1"/>
        <v>2031</v>
      </c>
      <c r="L39" s="16">
        <f t="shared" si="1"/>
        <v>1342</v>
      </c>
      <c r="M39" s="16">
        <f t="shared" si="1"/>
        <v>1323</v>
      </c>
      <c r="N39" s="16">
        <f t="shared" si="1"/>
        <v>1482</v>
      </c>
    </row>
    <row r="40" spans="1:14" x14ac:dyDescent="0.35">
      <c r="A40" s="15" t="s">
        <v>36</v>
      </c>
      <c r="B40" s="16">
        <f>SUM(B4:B27)</f>
        <v>12716</v>
      </c>
      <c r="C40" s="16">
        <f t="shared" ref="C40:N40" si="2">SUM(C4:C27)</f>
        <v>114</v>
      </c>
      <c r="D40" s="16">
        <f t="shared" si="2"/>
        <v>2065</v>
      </c>
      <c r="E40" s="16">
        <f t="shared" si="2"/>
        <v>10250</v>
      </c>
      <c r="F40" s="16">
        <f t="shared" si="2"/>
        <v>17561</v>
      </c>
      <c r="G40" s="16">
        <f t="shared" si="2"/>
        <v>97.579999999999984</v>
      </c>
      <c r="H40" s="16">
        <f t="shared" si="2"/>
        <v>9878</v>
      </c>
      <c r="I40" s="16">
        <f t="shared" si="2"/>
        <v>70</v>
      </c>
      <c r="J40" s="16">
        <f t="shared" si="2"/>
        <v>3647</v>
      </c>
      <c r="K40" s="16">
        <f t="shared" si="2"/>
        <v>7715</v>
      </c>
      <c r="L40" s="16">
        <f t="shared" si="2"/>
        <v>10343</v>
      </c>
      <c r="M40" s="16">
        <f t="shared" si="2"/>
        <v>6989</v>
      </c>
      <c r="N40" s="16">
        <f t="shared" si="2"/>
        <v>10620</v>
      </c>
    </row>
    <row r="41" spans="1:14" x14ac:dyDescent="0.35">
      <c r="A41" s="15" t="s">
        <v>34</v>
      </c>
      <c r="B41" s="16">
        <f>(B39*B33)-(B38*B33)</f>
        <v>2711.6666666666661</v>
      </c>
      <c r="C41" s="16">
        <f t="shared" ref="C41:N41" si="3">(C39*C33)-(C38*C33)</f>
        <v>129.5</v>
      </c>
      <c r="D41" s="16">
        <f t="shared" si="3"/>
        <v>339.79166666666663</v>
      </c>
      <c r="E41" s="16">
        <f t="shared" si="3"/>
        <v>6749.166666666667</v>
      </c>
      <c r="F41" s="16">
        <f t="shared" si="3"/>
        <v>5294.0416666666661</v>
      </c>
      <c r="G41" s="16">
        <f t="shared" si="3"/>
        <v>78.21916666666668</v>
      </c>
      <c r="H41" s="16">
        <f t="shared" si="3"/>
        <v>5981.666666666667</v>
      </c>
      <c r="I41" s="16">
        <f t="shared" si="3"/>
        <v>21.583333333333336</v>
      </c>
      <c r="J41" s="16">
        <f t="shared" si="3"/>
        <v>1452.25</v>
      </c>
      <c r="K41" s="16">
        <f t="shared" si="3"/>
        <v>6838.166666666667</v>
      </c>
      <c r="L41" s="16">
        <f t="shared" si="3"/>
        <v>9110.4166666666679</v>
      </c>
      <c r="M41" s="16">
        <f t="shared" si="3"/>
        <v>10317.916666666668</v>
      </c>
      <c r="N41" s="16">
        <f t="shared" si="3"/>
        <v>10395</v>
      </c>
    </row>
    <row r="42" spans="1:14" x14ac:dyDescent="0.35">
      <c r="A42" s="15" t="s">
        <v>35</v>
      </c>
      <c r="B42" s="16">
        <f>(B33*B38)+B41</f>
        <v>8010</v>
      </c>
      <c r="C42" s="16">
        <f t="shared" ref="C42:N42" si="4">(C33*C38)+C41</f>
        <v>196</v>
      </c>
      <c r="D42" s="16">
        <f t="shared" si="4"/>
        <v>770</v>
      </c>
      <c r="E42" s="16">
        <f t="shared" si="4"/>
        <v>11020</v>
      </c>
      <c r="F42" s="16">
        <f t="shared" si="4"/>
        <v>10416</v>
      </c>
      <c r="G42" s="16">
        <f t="shared" si="4"/>
        <v>106.68</v>
      </c>
      <c r="H42" s="16">
        <f t="shared" si="4"/>
        <v>7628</v>
      </c>
      <c r="I42" s="16">
        <f t="shared" si="4"/>
        <v>42</v>
      </c>
      <c r="J42" s="16">
        <f t="shared" si="4"/>
        <v>2364</v>
      </c>
      <c r="K42" s="16">
        <f t="shared" si="4"/>
        <v>8124</v>
      </c>
      <c r="L42" s="16">
        <f t="shared" si="4"/>
        <v>13420</v>
      </c>
      <c r="M42" s="16">
        <f t="shared" si="4"/>
        <v>13230</v>
      </c>
      <c r="N42" s="16">
        <f t="shared" si="4"/>
        <v>14820</v>
      </c>
    </row>
    <row r="43" spans="1:14" x14ac:dyDescent="0.35">
      <c r="A43" s="15" t="s">
        <v>31</v>
      </c>
      <c r="B43" s="16">
        <f>SQRT((2*B40*B32)/B31)</f>
        <v>5567.5433433427352</v>
      </c>
      <c r="C43" s="16">
        <f t="shared" ref="C43:N43" si="5">SQRT((2*C40*C32)/C31)</f>
        <v>382.41234289703567</v>
      </c>
      <c r="D43" s="16">
        <f t="shared" si="5"/>
        <v>1730.1514384584952</v>
      </c>
      <c r="E43" s="16">
        <f t="shared" si="5"/>
        <v>4125.5205732125487</v>
      </c>
      <c r="F43" s="16">
        <f t="shared" si="5"/>
        <v>6025.2389230635499</v>
      </c>
      <c r="G43" s="16">
        <f t="shared" si="5"/>
        <v>286.83034985858802</v>
      </c>
      <c r="H43" s="16">
        <f t="shared" si="5"/>
        <v>3396.9227957079038</v>
      </c>
      <c r="I43" s="16">
        <f t="shared" si="5"/>
        <v>272.22196825384981</v>
      </c>
      <c r="J43" s="16">
        <f t="shared" si="5"/>
        <v>1941.8306414309154</v>
      </c>
      <c r="K43" s="16">
        <f t="shared" si="5"/>
        <v>3344.4753848698006</v>
      </c>
      <c r="L43" s="16">
        <f t="shared" si="5"/>
        <v>2053.6459480640765</v>
      </c>
      <c r="M43" s="16">
        <f t="shared" si="5"/>
        <v>1387.6632444509005</v>
      </c>
      <c r="N43" s="16">
        <f t="shared" si="5"/>
        <v>1017.6749972363475</v>
      </c>
    </row>
    <row r="44" spans="1:14" x14ac:dyDescent="0.35">
      <c r="A44" s="15" t="s">
        <v>32</v>
      </c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</row>
    <row r="45" spans="1:14" x14ac:dyDescent="0.35">
      <c r="A45" s="15" t="s">
        <v>33</v>
      </c>
      <c r="B45" s="16">
        <f>B40*B30</f>
        <v>45141.799999999996</v>
      </c>
      <c r="C45" s="16">
        <f t="shared" ref="C45:N45" si="6">C40*C30</f>
        <v>23755.32</v>
      </c>
      <c r="D45" s="16">
        <f t="shared" si="6"/>
        <v>26845</v>
      </c>
      <c r="E45" s="16">
        <f t="shared" si="6"/>
        <v>30750</v>
      </c>
      <c r="F45" s="16">
        <f t="shared" si="6"/>
        <v>38282.980000000003</v>
      </c>
      <c r="G45" s="16">
        <f t="shared" si="6"/>
        <v>15612.799999999997</v>
      </c>
      <c r="H45" s="16">
        <f t="shared" si="6"/>
        <v>21632.82</v>
      </c>
      <c r="I45" s="16">
        <f t="shared" si="6"/>
        <v>19604.899999999998</v>
      </c>
      <c r="J45" s="16">
        <f t="shared" si="6"/>
        <v>19146.75</v>
      </c>
      <c r="K45" s="16">
        <f t="shared" si="6"/>
        <v>26848.2</v>
      </c>
      <c r="L45" s="16">
        <f t="shared" si="6"/>
        <v>7550.3899999999994</v>
      </c>
      <c r="M45" s="16">
        <f t="shared" si="6"/>
        <v>5101.97</v>
      </c>
      <c r="N45" s="16">
        <f t="shared" si="6"/>
        <v>1805.4</v>
      </c>
    </row>
  </sheetData>
  <mergeCells count="4">
    <mergeCell ref="A1:N1"/>
    <mergeCell ref="A29:N29"/>
    <mergeCell ref="A37:N37"/>
    <mergeCell ref="AB19:AJ19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90E4E-41A3-4B89-976C-6EEA9746D1AD}">
  <dimension ref="A2:E35"/>
  <sheetViews>
    <sheetView tabSelected="1" zoomScale="70" zoomScaleNormal="70" workbookViewId="0">
      <selection activeCell="B2" sqref="B2:D3"/>
    </sheetView>
  </sheetViews>
  <sheetFormatPr defaultRowHeight="14.5" x14ac:dyDescent="0.35"/>
  <cols>
    <col min="1" max="1" width="9.90625" customWidth="1"/>
    <col min="3" max="3" width="9.90625" customWidth="1"/>
    <col min="4" max="4" width="23.6328125" customWidth="1"/>
    <col min="5" max="5" width="23.7265625" customWidth="1"/>
  </cols>
  <sheetData>
    <row r="2" spans="1:5" x14ac:dyDescent="0.35">
      <c r="B2" s="26" t="s">
        <v>27</v>
      </c>
      <c r="C2" s="26"/>
      <c r="D2" s="26"/>
      <c r="E2" s="27"/>
    </row>
    <row r="3" spans="1:5" x14ac:dyDescent="0.35">
      <c r="B3" s="26"/>
      <c r="C3" s="26"/>
      <c r="D3" s="26"/>
      <c r="E3" s="27"/>
    </row>
    <row r="5" spans="1:5" x14ac:dyDescent="0.35">
      <c r="A5" t="s">
        <v>22</v>
      </c>
      <c r="B5" t="s">
        <v>23</v>
      </c>
      <c r="C5" t="s">
        <v>24</v>
      </c>
      <c r="D5" t="s">
        <v>25</v>
      </c>
      <c r="E5" t="s">
        <v>26</v>
      </c>
    </row>
    <row r="6" spans="1:5" x14ac:dyDescent="0.35">
      <c r="A6" s="11">
        <v>39448</v>
      </c>
      <c r="B6">
        <v>0</v>
      </c>
    </row>
    <row r="7" spans="1:5" x14ac:dyDescent="0.35">
      <c r="A7" s="11">
        <v>39479</v>
      </c>
      <c r="B7">
        <v>129</v>
      </c>
    </row>
    <row r="8" spans="1:5" x14ac:dyDescent="0.35">
      <c r="A8" s="11">
        <v>39508</v>
      </c>
      <c r="B8">
        <v>1312</v>
      </c>
    </row>
    <row r="9" spans="1:5" x14ac:dyDescent="0.35">
      <c r="A9" s="11">
        <v>39539</v>
      </c>
      <c r="B9">
        <v>167</v>
      </c>
    </row>
    <row r="10" spans="1:5" x14ac:dyDescent="0.35">
      <c r="A10" s="11">
        <v>39569</v>
      </c>
      <c r="B10">
        <v>707</v>
      </c>
    </row>
    <row r="11" spans="1:5" x14ac:dyDescent="0.35">
      <c r="A11" s="11">
        <v>39600</v>
      </c>
      <c r="B11">
        <v>160</v>
      </c>
    </row>
    <row r="12" spans="1:5" x14ac:dyDescent="0.35">
      <c r="A12" s="11">
        <v>39630</v>
      </c>
      <c r="B12">
        <v>1482</v>
      </c>
    </row>
    <row r="13" spans="1:5" x14ac:dyDescent="0.35">
      <c r="A13" s="11">
        <v>39661</v>
      </c>
      <c r="B13">
        <v>788</v>
      </c>
    </row>
    <row r="14" spans="1:5" x14ac:dyDescent="0.35">
      <c r="A14" s="11">
        <v>39692</v>
      </c>
      <c r="B14">
        <v>471</v>
      </c>
    </row>
    <row r="15" spans="1:5" x14ac:dyDescent="0.35">
      <c r="A15" s="11">
        <v>39722</v>
      </c>
      <c r="B15">
        <v>76</v>
      </c>
    </row>
    <row r="16" spans="1:5" x14ac:dyDescent="0.35">
      <c r="A16" s="11">
        <v>39753</v>
      </c>
      <c r="B16">
        <v>38</v>
      </c>
    </row>
    <row r="17" spans="1:5" x14ac:dyDescent="0.35">
      <c r="A17" s="11">
        <v>39783</v>
      </c>
      <c r="B17">
        <v>226</v>
      </c>
    </row>
    <row r="18" spans="1:5" x14ac:dyDescent="0.35">
      <c r="A18" s="11">
        <v>39814</v>
      </c>
      <c r="B18">
        <v>1153</v>
      </c>
    </row>
    <row r="19" spans="1:5" x14ac:dyDescent="0.35">
      <c r="A19" s="11">
        <v>39845</v>
      </c>
      <c r="B19">
        <v>63</v>
      </c>
    </row>
    <row r="20" spans="1:5" x14ac:dyDescent="0.35">
      <c r="A20" s="11">
        <v>39873</v>
      </c>
      <c r="B20">
        <v>662</v>
      </c>
    </row>
    <row r="21" spans="1:5" x14ac:dyDescent="0.35">
      <c r="A21" s="11">
        <v>39904</v>
      </c>
      <c r="B21">
        <v>200</v>
      </c>
    </row>
    <row r="22" spans="1:5" x14ac:dyDescent="0.35">
      <c r="A22" s="11">
        <v>39934</v>
      </c>
      <c r="B22">
        <v>502</v>
      </c>
    </row>
    <row r="23" spans="1:5" x14ac:dyDescent="0.35">
      <c r="A23" s="11">
        <v>39965</v>
      </c>
      <c r="B23">
        <v>658</v>
      </c>
    </row>
    <row r="24" spans="1:5" x14ac:dyDescent="0.35">
      <c r="A24" s="11">
        <v>39995</v>
      </c>
      <c r="B24">
        <v>595</v>
      </c>
    </row>
    <row r="25" spans="1:5" x14ac:dyDescent="0.35">
      <c r="A25" s="11">
        <v>40026</v>
      </c>
      <c r="B25">
        <v>431</v>
      </c>
    </row>
    <row r="26" spans="1:5" x14ac:dyDescent="0.35">
      <c r="A26" s="11">
        <v>40057</v>
      </c>
      <c r="B26">
        <v>439</v>
      </c>
    </row>
    <row r="27" spans="1:5" x14ac:dyDescent="0.35">
      <c r="A27" s="11">
        <v>40087</v>
      </c>
      <c r="B27">
        <v>215</v>
      </c>
    </row>
    <row r="28" spans="1:5" x14ac:dyDescent="0.35">
      <c r="A28" s="11">
        <v>40118</v>
      </c>
      <c r="B28">
        <v>76</v>
      </c>
    </row>
    <row r="29" spans="1:5" x14ac:dyDescent="0.35">
      <c r="A29" s="11">
        <v>40148</v>
      </c>
      <c r="B29">
        <v>70</v>
      </c>
      <c r="C29">
        <v>70</v>
      </c>
      <c r="D29" s="12">
        <v>70</v>
      </c>
      <c r="E29" s="12">
        <v>70</v>
      </c>
    </row>
    <row r="30" spans="1:5" x14ac:dyDescent="0.35">
      <c r="A30" s="11">
        <v>40179</v>
      </c>
      <c r="C30">
        <f t="shared" ref="C30:C35" si="0">_xlfn.FORECAST.ETS(A30,$B$6:$B$29,$A$6:$A$29,1,1)</f>
        <v>508.24300900210858</v>
      </c>
      <c r="D30" s="12">
        <f t="shared" ref="D30:D35" si="1">C30-_xlfn.FORECAST.ETS.CONFINT(A30,$B$6:$B$29,$A$6:$A$29,0.95,1,1)</f>
        <v>-390.07113314740639</v>
      </c>
      <c r="E30" s="12">
        <f t="shared" ref="E30:E35" si="2">C30+_xlfn.FORECAST.ETS.CONFINT(A30,$B$6:$B$29,$A$6:$A$29,0.95,1,1)</f>
        <v>1406.5571511516237</v>
      </c>
    </row>
    <row r="31" spans="1:5" x14ac:dyDescent="0.35">
      <c r="A31" s="11">
        <v>40210</v>
      </c>
      <c r="C31">
        <f t="shared" si="0"/>
        <v>-69.058442780878295</v>
      </c>
      <c r="D31" s="12">
        <f t="shared" si="1"/>
        <v>-1074.2089474076417</v>
      </c>
      <c r="E31" s="12">
        <f t="shared" si="2"/>
        <v>936.09206184588515</v>
      </c>
    </row>
    <row r="32" spans="1:5" x14ac:dyDescent="0.35">
      <c r="A32" s="11">
        <v>40238</v>
      </c>
      <c r="C32">
        <f t="shared" si="0"/>
        <v>496.12275179601863</v>
      </c>
      <c r="D32" s="12">
        <f t="shared" si="1"/>
        <v>-606.28842201010855</v>
      </c>
      <c r="E32" s="12">
        <f t="shared" si="2"/>
        <v>1598.5339256021457</v>
      </c>
    </row>
    <row r="33" spans="1:5" x14ac:dyDescent="0.35">
      <c r="A33" s="11">
        <v>40269</v>
      </c>
      <c r="C33">
        <f t="shared" si="0"/>
        <v>-81.178699986968184</v>
      </c>
      <c r="D33" s="12">
        <f t="shared" si="1"/>
        <v>-1272.9392696123309</v>
      </c>
      <c r="E33" s="12">
        <f t="shared" si="2"/>
        <v>1110.5818696383944</v>
      </c>
    </row>
    <row r="34" spans="1:5" x14ac:dyDescent="0.35">
      <c r="A34" s="11">
        <v>40299</v>
      </c>
      <c r="C34">
        <f t="shared" si="0"/>
        <v>484.0024945899288</v>
      </c>
      <c r="D34" s="12">
        <f t="shared" si="1"/>
        <v>-791.49983408566641</v>
      </c>
      <c r="E34" s="12">
        <f t="shared" si="2"/>
        <v>1759.504823265524</v>
      </c>
    </row>
    <row r="35" spans="1:5" x14ac:dyDescent="0.35">
      <c r="A35" s="11">
        <v>40330</v>
      </c>
      <c r="C35">
        <f t="shared" si="0"/>
        <v>-93.298957193058072</v>
      </c>
      <c r="D35" s="12">
        <f t="shared" si="1"/>
        <v>-1447.3739645689284</v>
      </c>
      <c r="E35" s="12">
        <f t="shared" si="2"/>
        <v>1260.7760501828125</v>
      </c>
    </row>
  </sheetData>
  <mergeCells count="1">
    <mergeCell ref="B2:D3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Calculations</vt:lpstr>
      <vt:lpstr>Forecast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Karnika C S</dc:creator>
  <cp:lastModifiedBy>Karnika C S</cp:lastModifiedBy>
  <dcterms:created xsi:type="dcterms:W3CDTF">2023-03-20T07:03:44Z</dcterms:created>
  <dcterms:modified xsi:type="dcterms:W3CDTF">2023-04-08T05:33:38Z</dcterms:modified>
</cp:coreProperties>
</file>