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5655" windowHeight="4635" firstSheet="3" activeTab="4"/>
  </bookViews>
  <sheets>
    <sheet name="Sheet1" sheetId="1" r:id="rId1"/>
    <sheet name="Sheet2" sheetId="2" r:id="rId2"/>
    <sheet name="Sheet5" sheetId="5" r:id="rId3"/>
    <sheet name="Sheet6" sheetId="6" r:id="rId4"/>
    <sheet name="Sheet4" sheetId="4" r:id="rId5"/>
    <sheet name="Sheet7" sheetId="7" r:id="rId6"/>
    <sheet name="Sheet3" sheetId="3" r:id="rId7"/>
  </sheets>
  <calcPr calcId="124519"/>
</workbook>
</file>

<file path=xl/calcChain.xml><?xml version="1.0" encoding="utf-8"?>
<calcChain xmlns="http://schemas.openxmlformats.org/spreadsheetml/2006/main">
  <c r="D1" i="7"/>
  <c r="D10" i="4"/>
  <c r="D11"/>
  <c r="D12"/>
  <c r="D13"/>
  <c r="D14"/>
  <c r="D15"/>
  <c r="D16"/>
  <c r="D17"/>
  <c r="D18"/>
  <c r="D19"/>
  <c r="D20"/>
  <c r="D21"/>
  <c r="D22"/>
  <c r="D23"/>
  <c r="D24"/>
  <c r="D25"/>
  <c r="D26"/>
  <c r="D9"/>
  <c r="E9" s="1"/>
  <c r="C10"/>
  <c r="C11"/>
  <c r="C12"/>
  <c r="C13"/>
  <c r="C14"/>
  <c r="C15"/>
  <c r="C16"/>
  <c r="C17"/>
  <c r="C18"/>
  <c r="C19"/>
  <c r="C20"/>
  <c r="C21"/>
  <c r="C22"/>
  <c r="C23"/>
  <c r="C24"/>
  <c r="C25"/>
  <c r="C26"/>
  <c r="C9"/>
  <c r="B10"/>
  <c r="B11"/>
  <c r="B12"/>
  <c r="B13"/>
  <c r="B14"/>
  <c r="B15"/>
  <c r="B16"/>
  <c r="B17"/>
  <c r="B18"/>
  <c r="B19"/>
  <c r="B20"/>
  <c r="B21"/>
  <c r="B22"/>
  <c r="B23"/>
  <c r="B24"/>
  <c r="B25"/>
  <c r="B26"/>
  <c r="B9"/>
  <c r="E26"/>
  <c r="E25"/>
  <c r="E24"/>
  <c r="E23"/>
  <c r="E22"/>
  <c r="E21"/>
  <c r="E20"/>
  <c r="E19"/>
  <c r="E18"/>
  <c r="E17"/>
  <c r="E16"/>
  <c r="E15"/>
  <c r="E14"/>
  <c r="E13"/>
  <c r="E12"/>
  <c r="E11"/>
  <c r="E10"/>
  <c r="I1" i="6"/>
  <c r="I1" i="5"/>
  <c r="I2" i="2"/>
  <c r="D9" i="6"/>
  <c r="D10"/>
  <c r="D11"/>
  <c r="D12"/>
  <c r="D13"/>
  <c r="D14"/>
  <c r="D15"/>
  <c r="D16"/>
  <c r="D17"/>
  <c r="D18"/>
  <c r="D19"/>
  <c r="D20"/>
  <c r="D21"/>
  <c r="D22"/>
  <c r="D23"/>
  <c r="D24"/>
  <c r="D25"/>
  <c r="D8"/>
  <c r="C9"/>
  <c r="C10"/>
  <c r="C11"/>
  <c r="C12"/>
  <c r="C13"/>
  <c r="C14"/>
  <c r="C15"/>
  <c r="C16"/>
  <c r="C17"/>
  <c r="C18"/>
  <c r="C19"/>
  <c r="C20"/>
  <c r="C21"/>
  <c r="C22"/>
  <c r="C23"/>
  <c r="C24"/>
  <c r="C25"/>
  <c r="C8"/>
  <c r="B9"/>
  <c r="B10"/>
  <c r="B11"/>
  <c r="B12"/>
  <c r="B13"/>
  <c r="B14"/>
  <c r="B15"/>
  <c r="B16"/>
  <c r="B17"/>
  <c r="B18"/>
  <c r="B19"/>
  <c r="B20"/>
  <c r="B21"/>
  <c r="B22"/>
  <c r="B23"/>
  <c r="B24"/>
  <c r="B25"/>
  <c r="B8"/>
  <c r="D9" i="5"/>
  <c r="E9" s="1"/>
  <c r="D10"/>
  <c r="E10" s="1"/>
  <c r="D11"/>
  <c r="E11" s="1"/>
  <c r="D12"/>
  <c r="E12" s="1"/>
  <c r="D13"/>
  <c r="E13" s="1"/>
  <c r="D14"/>
  <c r="E14" s="1"/>
  <c r="D15"/>
  <c r="E15" s="1"/>
  <c r="D16"/>
  <c r="E16" s="1"/>
  <c r="D17"/>
  <c r="E17" s="1"/>
  <c r="D18"/>
  <c r="E18" s="1"/>
  <c r="D19"/>
  <c r="E19" s="1"/>
  <c r="D20"/>
  <c r="E20" s="1"/>
  <c r="D21"/>
  <c r="E21" s="1"/>
  <c r="D8"/>
  <c r="E8" s="1"/>
  <c r="C9"/>
  <c r="C10"/>
  <c r="C11"/>
  <c r="C12"/>
  <c r="C13"/>
  <c r="C14"/>
  <c r="C15"/>
  <c r="C16"/>
  <c r="C17"/>
  <c r="C18"/>
  <c r="C19"/>
  <c r="C20"/>
  <c r="C21"/>
  <c r="C8"/>
  <c r="B9"/>
  <c r="B10"/>
  <c r="B11"/>
  <c r="B12"/>
  <c r="B13"/>
  <c r="B14"/>
  <c r="B15"/>
  <c r="B16"/>
  <c r="B17"/>
  <c r="B18"/>
  <c r="B19"/>
  <c r="B20"/>
  <c r="B21"/>
  <c r="B8"/>
  <c r="E9" i="2"/>
  <c r="E10"/>
  <c r="E11"/>
  <c r="E12"/>
  <c r="E13"/>
  <c r="E14"/>
  <c r="E15"/>
  <c r="E16"/>
  <c r="E17"/>
  <c r="E18"/>
  <c r="E19"/>
  <c r="E20"/>
  <c r="E21"/>
  <c r="E22"/>
  <c r="E23"/>
  <c r="E24"/>
  <c r="E8"/>
  <c r="D9"/>
  <c r="D10"/>
  <c r="D11"/>
  <c r="D12"/>
  <c r="D13"/>
  <c r="D14"/>
  <c r="D15"/>
  <c r="D16"/>
  <c r="D17"/>
  <c r="D18"/>
  <c r="D19"/>
  <c r="D20"/>
  <c r="D21"/>
  <c r="D22"/>
  <c r="D23"/>
  <c r="D24"/>
  <c r="D8"/>
  <c r="C9"/>
  <c r="C10"/>
  <c r="C11"/>
  <c r="C12"/>
  <c r="C13"/>
  <c r="C14"/>
  <c r="C15"/>
  <c r="C16"/>
  <c r="C17"/>
  <c r="C18"/>
  <c r="C19"/>
  <c r="C20"/>
  <c r="C21"/>
  <c r="C22"/>
  <c r="C23"/>
  <c r="C24"/>
  <c r="C8"/>
  <c r="B9"/>
  <c r="B10"/>
  <c r="B11"/>
  <c r="B12"/>
  <c r="B13"/>
  <c r="B14"/>
  <c r="B15"/>
  <c r="B16"/>
  <c r="B17"/>
  <c r="B18"/>
  <c r="B19"/>
  <c r="B20"/>
  <c r="B21"/>
  <c r="B22"/>
  <c r="B23"/>
  <c r="B24"/>
  <c r="B8"/>
  <c r="A27"/>
  <c r="E3" i="1"/>
  <c r="E4"/>
  <c r="E5"/>
  <c r="E6"/>
  <c r="E7"/>
  <c r="E8"/>
  <c r="E9"/>
  <c r="E10"/>
  <c r="E11"/>
  <c r="E12"/>
  <c r="E13"/>
  <c r="E14"/>
  <c r="E15"/>
  <c r="E2"/>
  <c r="E8" i="6" l="1"/>
  <c r="E10"/>
  <c r="E11"/>
  <c r="E12"/>
  <c r="E9"/>
  <c r="E13"/>
  <c r="E14" l="1"/>
  <c r="E16"/>
  <c r="E17"/>
  <c r="E18"/>
  <c r="E15"/>
  <c r="E19"/>
  <c r="E25" l="1"/>
  <c r="E24"/>
  <c r="E20" l="1"/>
  <c r="E21"/>
  <c r="E22"/>
  <c r="E23"/>
</calcChain>
</file>

<file path=xl/sharedStrings.xml><?xml version="1.0" encoding="utf-8"?>
<sst xmlns="http://schemas.openxmlformats.org/spreadsheetml/2006/main" count="97" uniqueCount="48">
  <si>
    <t>Volume per order Q</t>
  </si>
  <si>
    <t>(D/Q)</t>
  </si>
  <si>
    <t>(D/Q*S)</t>
  </si>
  <si>
    <t>(Q/2*H)</t>
  </si>
  <si>
    <t>TC</t>
  </si>
  <si>
    <t>wood pieces</t>
  </si>
  <si>
    <t>glue</t>
  </si>
  <si>
    <t>colour</t>
  </si>
  <si>
    <t>ordering cost</t>
  </si>
  <si>
    <t>holding cst</t>
  </si>
  <si>
    <t>EOQ</t>
  </si>
  <si>
    <t>annual demand</t>
  </si>
  <si>
    <t>Volume per order</t>
  </si>
  <si>
    <t>Consumption Data</t>
  </si>
  <si>
    <t>Item-&gt;</t>
  </si>
  <si>
    <t>Product1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</si>
  <si>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</si>
  <si>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</si>
  <si>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</si>
  <si>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</si>
  <si>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</si>
  <si>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</si>
  <si>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</si>
  <si>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</si>
  <si>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</si>
  <si>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Product11</t>
  </si>
  <si>
    <t>Product12</t>
  </si>
  <si>
    <t>Product13</t>
  </si>
  <si>
    <t>Date(MM/YY)</t>
  </si>
  <si>
    <t>Units</t>
  </si>
  <si>
    <t>Additional Information:</t>
  </si>
  <si>
    <t>Unit Cost Price</t>
  </si>
  <si>
    <t>HoldingCost</t>
  </si>
  <si>
    <t>Fixordercost</t>
  </si>
  <si>
    <t>LeadTime(days)</t>
  </si>
  <si>
    <t>Annual total cost</t>
  </si>
  <si>
    <t>Batches per year(D/Q)</t>
  </si>
  <si>
    <t>Annual order cost(D/Q*S)</t>
  </si>
  <si>
    <t>Annua holding cost(Q/2*H)</t>
  </si>
  <si>
    <t>Total corrosion</t>
  </si>
  <si>
    <t>carrying cost</t>
  </si>
  <si>
    <t>&lt;50</t>
  </si>
  <si>
    <t>50-79</t>
  </si>
  <si>
    <t>80-99</t>
  </si>
  <si>
    <t>total cost</t>
  </si>
  <si>
    <t>rate</t>
  </si>
  <si>
    <t>worth</t>
  </si>
  <si>
    <t>inv carrying cost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</si>
</sst>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17" fontId="2" fillId="0" borderId="4" xfId="0" applyNumberFormat="1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126427097847341"/>
          <c:y val="4.7907312556804187E-2"/>
          <c:w val="0.60072475508462675"/>
          <c:h val="0.66091311401608788"/>
        </c:manualLayout>
      </c:layout>
      <c:lineChart>
        <c:grouping val="standard"/>
        <c:ser>
          <c:idx val="0"/>
          <c:order val="0"/>
          <c:tx>
            <c:strRef>
              <c:f>Sheet2!$C$7</c:f>
              <c:strCache>
                <c:ptCount val="1"/>
                <c:pt idx="0">
                  <c:v>Annual order cost(D/Q*S)</c:v>
                </c:pt>
              </c:strCache>
            </c:strRef>
          </c:tx>
          <c:marker>
            <c:symbol val="none"/>
          </c:marker>
          <c:val>
            <c:numRef>
              <c:f>Sheet2!$C$8:$C$24</c:f>
              <c:numCache>
                <c:formatCode>General</c:formatCode>
                <c:ptCount val="17"/>
                <c:pt idx="0">
                  <c:v>2250</c:v>
                </c:pt>
                <c:pt idx="1">
                  <c:v>1125</c:v>
                </c:pt>
                <c:pt idx="2">
                  <c:v>750</c:v>
                </c:pt>
                <c:pt idx="3">
                  <c:v>562.5</c:v>
                </c:pt>
                <c:pt idx="4">
                  <c:v>450</c:v>
                </c:pt>
                <c:pt idx="5">
                  <c:v>375</c:v>
                </c:pt>
                <c:pt idx="6">
                  <c:v>321.42857142857139</c:v>
                </c:pt>
                <c:pt idx="7">
                  <c:v>281.25</c:v>
                </c:pt>
                <c:pt idx="8">
                  <c:v>250.00000000000003</c:v>
                </c:pt>
                <c:pt idx="9">
                  <c:v>225</c:v>
                </c:pt>
                <c:pt idx="10">
                  <c:v>204.54545454545456</c:v>
                </c:pt>
                <c:pt idx="11">
                  <c:v>187.5</c:v>
                </c:pt>
                <c:pt idx="12">
                  <c:v>173.07692307692307</c:v>
                </c:pt>
                <c:pt idx="13">
                  <c:v>160.71428571428569</c:v>
                </c:pt>
                <c:pt idx="14">
                  <c:v>150</c:v>
                </c:pt>
                <c:pt idx="15">
                  <c:v>140.625</c:v>
                </c:pt>
                <c:pt idx="16">
                  <c:v>132.35294117647061</c:v>
                </c:pt>
              </c:numCache>
            </c:numRef>
          </c:val>
        </c:ser>
        <c:ser>
          <c:idx val="1"/>
          <c:order val="1"/>
          <c:tx>
            <c:strRef>
              <c:f>Sheet2!$D$7</c:f>
              <c:strCache>
                <c:ptCount val="1"/>
                <c:pt idx="0">
                  <c:v>Annua holding cost(Q/2*H)</c:v>
                </c:pt>
              </c:strCache>
            </c:strRef>
          </c:tx>
          <c:marker>
            <c:symbol val="none"/>
          </c:marker>
          <c:val>
            <c:numRef>
              <c:f>Sheet2!$D$8:$D$24</c:f>
              <c:numCache>
                <c:formatCode>General</c:formatCode>
                <c:ptCount val="17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</c:numCache>
            </c:numRef>
          </c:val>
        </c:ser>
        <c:ser>
          <c:idx val="2"/>
          <c:order val="2"/>
          <c:tx>
            <c:strRef>
              <c:f>Sheet2!$E$7</c:f>
              <c:strCache>
                <c:ptCount val="1"/>
                <c:pt idx="0">
                  <c:v>Annual total cost</c:v>
                </c:pt>
              </c:strCache>
            </c:strRef>
          </c:tx>
          <c:marker>
            <c:symbol val="none"/>
          </c:marker>
          <c:val>
            <c:numRef>
              <c:f>Sheet2!$E$8:$E$24</c:f>
              <c:numCache>
                <c:formatCode>General</c:formatCode>
                <c:ptCount val="17"/>
                <c:pt idx="0">
                  <c:v>2275</c:v>
                </c:pt>
                <c:pt idx="1">
                  <c:v>1175</c:v>
                </c:pt>
                <c:pt idx="2">
                  <c:v>825</c:v>
                </c:pt>
                <c:pt idx="3">
                  <c:v>662.5</c:v>
                </c:pt>
                <c:pt idx="4">
                  <c:v>575</c:v>
                </c:pt>
                <c:pt idx="5">
                  <c:v>525</c:v>
                </c:pt>
                <c:pt idx="6">
                  <c:v>496.42857142857139</c:v>
                </c:pt>
                <c:pt idx="7">
                  <c:v>481.25</c:v>
                </c:pt>
                <c:pt idx="8">
                  <c:v>475</c:v>
                </c:pt>
                <c:pt idx="9">
                  <c:v>475</c:v>
                </c:pt>
                <c:pt idx="10">
                  <c:v>479.54545454545456</c:v>
                </c:pt>
                <c:pt idx="11">
                  <c:v>487.5</c:v>
                </c:pt>
                <c:pt idx="12">
                  <c:v>498.07692307692309</c:v>
                </c:pt>
                <c:pt idx="13">
                  <c:v>510.71428571428567</c:v>
                </c:pt>
                <c:pt idx="14">
                  <c:v>525</c:v>
                </c:pt>
                <c:pt idx="15">
                  <c:v>540.625</c:v>
                </c:pt>
                <c:pt idx="16">
                  <c:v>557.35294117647061</c:v>
                </c:pt>
              </c:numCache>
            </c:numRef>
          </c:val>
        </c:ser>
        <c:marker val="1"/>
        <c:axId val="142919552"/>
        <c:axId val="142921088"/>
      </c:lineChart>
      <c:catAx>
        <c:axId val="142919552"/>
        <c:scaling>
          <c:orientation val="minMax"/>
        </c:scaling>
        <c:axPos val="b"/>
        <c:tickLblPos val="nextTo"/>
        <c:crossAx val="142921088"/>
        <c:crosses val="autoZero"/>
        <c:auto val="1"/>
        <c:lblAlgn val="ctr"/>
        <c:lblOffset val="100"/>
      </c:catAx>
      <c:valAx>
        <c:axId val="142921088"/>
        <c:scaling>
          <c:orientation val="minMax"/>
        </c:scaling>
        <c:axPos val="l"/>
        <c:majorGridlines/>
        <c:numFmt formatCode="General" sourceLinked="1"/>
        <c:tickLblPos val="nextTo"/>
        <c:crossAx val="142919552"/>
        <c:crosses val="autoZero"/>
        <c:crossBetween val="between"/>
      </c:valAx>
    </c:plotArea>
    <c:legend>
      <c:legendPos val="r"/>
      <c:layout/>
    </c:legend>
    <c:plotVisOnly val="1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Sheet5!$C$7</c:f>
              <c:strCache>
                <c:ptCount val="1"/>
                <c:pt idx="0">
                  <c:v>Annual order cost(D/Q*S)</c:v>
                </c:pt>
              </c:strCache>
            </c:strRef>
          </c:tx>
          <c:marker>
            <c:symbol val="none"/>
          </c:marker>
          <c:val>
            <c:numRef>
              <c:f>Sheet5!$C$8:$C$21</c:f>
              <c:numCache>
                <c:formatCode>General</c:formatCode>
                <c:ptCount val="14"/>
                <c:pt idx="0">
                  <c:v>300</c:v>
                </c:pt>
                <c:pt idx="1">
                  <c:v>150</c:v>
                </c:pt>
                <c:pt idx="2">
                  <c:v>100</c:v>
                </c:pt>
                <c:pt idx="3">
                  <c:v>75</c:v>
                </c:pt>
                <c:pt idx="4">
                  <c:v>60</c:v>
                </c:pt>
                <c:pt idx="5">
                  <c:v>50</c:v>
                </c:pt>
                <c:pt idx="6">
                  <c:v>42.857142857142861</c:v>
                </c:pt>
                <c:pt idx="7">
                  <c:v>37.5</c:v>
                </c:pt>
                <c:pt idx="8">
                  <c:v>33.333333333333336</c:v>
                </c:pt>
                <c:pt idx="9">
                  <c:v>30</c:v>
                </c:pt>
                <c:pt idx="10">
                  <c:v>27.272727272727273</c:v>
                </c:pt>
                <c:pt idx="11">
                  <c:v>25</c:v>
                </c:pt>
                <c:pt idx="12">
                  <c:v>23.076923076923077</c:v>
                </c:pt>
                <c:pt idx="13">
                  <c:v>21.428571428571431</c:v>
                </c:pt>
              </c:numCache>
            </c:numRef>
          </c:val>
        </c:ser>
        <c:ser>
          <c:idx val="1"/>
          <c:order val="1"/>
          <c:tx>
            <c:strRef>
              <c:f>Sheet5!$D$7</c:f>
              <c:strCache>
                <c:ptCount val="1"/>
                <c:pt idx="0">
                  <c:v>Annua holding cost(Q/2*H)</c:v>
                </c:pt>
              </c:strCache>
            </c:strRef>
          </c:tx>
          <c:marker>
            <c:symbol val="none"/>
          </c:marker>
          <c:val>
            <c:numRef>
              <c:f>Sheet5!$D$8:$D$21</c:f>
              <c:numCache>
                <c:formatCode>General</c:formatCode>
                <c:ptCount val="14"/>
                <c:pt idx="0">
                  <c:v>16.25</c:v>
                </c:pt>
                <c:pt idx="1">
                  <c:v>32.5</c:v>
                </c:pt>
                <c:pt idx="2">
                  <c:v>48.75</c:v>
                </c:pt>
                <c:pt idx="3">
                  <c:v>65</c:v>
                </c:pt>
                <c:pt idx="4">
                  <c:v>81.25</c:v>
                </c:pt>
                <c:pt idx="5">
                  <c:v>97.5</c:v>
                </c:pt>
                <c:pt idx="6">
                  <c:v>113.75</c:v>
                </c:pt>
                <c:pt idx="7">
                  <c:v>130</c:v>
                </c:pt>
                <c:pt idx="8">
                  <c:v>146.25</c:v>
                </c:pt>
                <c:pt idx="9">
                  <c:v>162.5</c:v>
                </c:pt>
                <c:pt idx="10">
                  <c:v>178.75</c:v>
                </c:pt>
                <c:pt idx="11">
                  <c:v>195</c:v>
                </c:pt>
                <c:pt idx="12">
                  <c:v>211.25</c:v>
                </c:pt>
                <c:pt idx="13">
                  <c:v>227.5</c:v>
                </c:pt>
              </c:numCache>
            </c:numRef>
          </c:val>
        </c:ser>
        <c:ser>
          <c:idx val="2"/>
          <c:order val="2"/>
          <c:tx>
            <c:strRef>
              <c:f>Sheet5!$E$7</c:f>
              <c:strCache>
                <c:ptCount val="1"/>
                <c:pt idx="0">
                  <c:v>Annual total cost</c:v>
                </c:pt>
              </c:strCache>
            </c:strRef>
          </c:tx>
          <c:marker>
            <c:symbol val="none"/>
          </c:marker>
          <c:val>
            <c:numRef>
              <c:f>Sheet5!$E$8:$E$21</c:f>
              <c:numCache>
                <c:formatCode>General</c:formatCode>
                <c:ptCount val="14"/>
                <c:pt idx="0">
                  <c:v>316.25</c:v>
                </c:pt>
                <c:pt idx="1">
                  <c:v>182.5</c:v>
                </c:pt>
                <c:pt idx="2">
                  <c:v>148.75</c:v>
                </c:pt>
                <c:pt idx="3">
                  <c:v>140</c:v>
                </c:pt>
                <c:pt idx="4">
                  <c:v>141.25</c:v>
                </c:pt>
                <c:pt idx="5">
                  <c:v>147.5</c:v>
                </c:pt>
                <c:pt idx="6">
                  <c:v>156.60714285714286</c:v>
                </c:pt>
                <c:pt idx="7">
                  <c:v>167.5</c:v>
                </c:pt>
                <c:pt idx="8">
                  <c:v>179.58333333333334</c:v>
                </c:pt>
                <c:pt idx="9">
                  <c:v>192.5</c:v>
                </c:pt>
                <c:pt idx="10">
                  <c:v>206.02272727272728</c:v>
                </c:pt>
                <c:pt idx="11">
                  <c:v>220</c:v>
                </c:pt>
                <c:pt idx="12">
                  <c:v>234.32692307692307</c:v>
                </c:pt>
                <c:pt idx="13">
                  <c:v>248.92857142857144</c:v>
                </c:pt>
              </c:numCache>
            </c:numRef>
          </c:val>
        </c:ser>
        <c:marker val="1"/>
        <c:axId val="142832000"/>
        <c:axId val="142833536"/>
      </c:lineChart>
      <c:catAx>
        <c:axId val="142832000"/>
        <c:scaling>
          <c:orientation val="minMax"/>
        </c:scaling>
        <c:axPos val="b"/>
        <c:tickLblPos val="nextTo"/>
        <c:crossAx val="142833536"/>
        <c:crosses val="autoZero"/>
        <c:auto val="1"/>
        <c:lblAlgn val="ctr"/>
        <c:lblOffset val="100"/>
      </c:catAx>
      <c:valAx>
        <c:axId val="142833536"/>
        <c:scaling>
          <c:orientation val="minMax"/>
        </c:scaling>
        <c:axPos val="l"/>
        <c:majorGridlines/>
        <c:numFmt formatCode="General" sourceLinked="1"/>
        <c:tickLblPos val="nextTo"/>
        <c:crossAx val="142832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Sheet6!$C$7</c:f>
              <c:strCache>
                <c:ptCount val="1"/>
                <c:pt idx="0">
                  <c:v>Annual order cost(D/Q*S)</c:v>
                </c:pt>
              </c:strCache>
            </c:strRef>
          </c:tx>
          <c:marker>
            <c:symbol val="none"/>
          </c:marker>
          <c:val>
            <c:numRef>
              <c:f>Sheet6!$C$8:$C$25</c:f>
              <c:numCache>
                <c:formatCode>General</c:formatCode>
                <c:ptCount val="18"/>
                <c:pt idx="0">
                  <c:v>225</c:v>
                </c:pt>
                <c:pt idx="1">
                  <c:v>112.5</c:v>
                </c:pt>
                <c:pt idx="2">
                  <c:v>75</c:v>
                </c:pt>
                <c:pt idx="3">
                  <c:v>56.25</c:v>
                </c:pt>
                <c:pt idx="4">
                  <c:v>45</c:v>
                </c:pt>
                <c:pt idx="5">
                  <c:v>37.5</c:v>
                </c:pt>
                <c:pt idx="6">
                  <c:v>32.142857142857139</c:v>
                </c:pt>
                <c:pt idx="7">
                  <c:v>28.125</c:v>
                </c:pt>
                <c:pt idx="8">
                  <c:v>25</c:v>
                </c:pt>
                <c:pt idx="9">
                  <c:v>22.5</c:v>
                </c:pt>
                <c:pt idx="10">
                  <c:v>20.454545454545453</c:v>
                </c:pt>
                <c:pt idx="11">
                  <c:v>18.75</c:v>
                </c:pt>
                <c:pt idx="12">
                  <c:v>17.307692307692307</c:v>
                </c:pt>
                <c:pt idx="13">
                  <c:v>16.071428571428569</c:v>
                </c:pt>
                <c:pt idx="14">
                  <c:v>15</c:v>
                </c:pt>
                <c:pt idx="15">
                  <c:v>14.0625</c:v>
                </c:pt>
                <c:pt idx="16">
                  <c:v>13.235294117647058</c:v>
                </c:pt>
                <c:pt idx="17">
                  <c:v>12.5</c:v>
                </c:pt>
              </c:numCache>
            </c:numRef>
          </c:val>
        </c:ser>
        <c:ser>
          <c:idx val="1"/>
          <c:order val="1"/>
          <c:tx>
            <c:strRef>
              <c:f>Sheet6!$D$7</c:f>
              <c:strCache>
                <c:ptCount val="1"/>
                <c:pt idx="0">
                  <c:v>Annua holding cost(Q/2*H)</c:v>
                </c:pt>
              </c:strCache>
            </c:strRef>
          </c:tx>
          <c:marker>
            <c:symbol val="none"/>
          </c:marker>
          <c:val>
            <c:numRef>
              <c:f>Sheet6!$D$8:$D$25</c:f>
              <c:numCache>
                <c:formatCode>General</c:formatCode>
                <c:ptCount val="18"/>
                <c:pt idx="0">
                  <c:v>45</c:v>
                </c:pt>
                <c:pt idx="1">
                  <c:v>90</c:v>
                </c:pt>
                <c:pt idx="2">
                  <c:v>135</c:v>
                </c:pt>
                <c:pt idx="3">
                  <c:v>180</c:v>
                </c:pt>
                <c:pt idx="4">
                  <c:v>225</c:v>
                </c:pt>
                <c:pt idx="5">
                  <c:v>270</c:v>
                </c:pt>
                <c:pt idx="6">
                  <c:v>315</c:v>
                </c:pt>
                <c:pt idx="7">
                  <c:v>360</c:v>
                </c:pt>
                <c:pt idx="8">
                  <c:v>405</c:v>
                </c:pt>
                <c:pt idx="9">
                  <c:v>450</c:v>
                </c:pt>
                <c:pt idx="10">
                  <c:v>495</c:v>
                </c:pt>
                <c:pt idx="11">
                  <c:v>540</c:v>
                </c:pt>
                <c:pt idx="12">
                  <c:v>585</c:v>
                </c:pt>
                <c:pt idx="13">
                  <c:v>630</c:v>
                </c:pt>
                <c:pt idx="14">
                  <c:v>675</c:v>
                </c:pt>
                <c:pt idx="15">
                  <c:v>720</c:v>
                </c:pt>
                <c:pt idx="16">
                  <c:v>765</c:v>
                </c:pt>
                <c:pt idx="17">
                  <c:v>810</c:v>
                </c:pt>
              </c:numCache>
            </c:numRef>
          </c:val>
        </c:ser>
        <c:ser>
          <c:idx val="2"/>
          <c:order val="2"/>
          <c:tx>
            <c:strRef>
              <c:f>Sheet6!$E$7</c:f>
              <c:strCache>
                <c:ptCount val="1"/>
                <c:pt idx="0">
                  <c:v>Annual total cost</c:v>
                </c:pt>
              </c:strCache>
            </c:strRef>
          </c:tx>
          <c:marker>
            <c:symbol val="none"/>
          </c:marker>
          <c:val>
            <c:numRef>
              <c:f>Sheet6!$E$8:$E$25</c:f>
              <c:numCache>
                <c:formatCode>General</c:formatCode>
                <c:ptCount val="18"/>
                <c:pt idx="0">
                  <c:v>270</c:v>
                </c:pt>
                <c:pt idx="1">
                  <c:v>202.5</c:v>
                </c:pt>
                <c:pt idx="2">
                  <c:v>210</c:v>
                </c:pt>
                <c:pt idx="3">
                  <c:v>236.25</c:v>
                </c:pt>
                <c:pt idx="4">
                  <c:v>270</c:v>
                </c:pt>
                <c:pt idx="5">
                  <c:v>307.5</c:v>
                </c:pt>
                <c:pt idx="6">
                  <c:v>347.14285714285711</c:v>
                </c:pt>
                <c:pt idx="7">
                  <c:v>388.125</c:v>
                </c:pt>
                <c:pt idx="8">
                  <c:v>430</c:v>
                </c:pt>
                <c:pt idx="9">
                  <c:v>472.5</c:v>
                </c:pt>
                <c:pt idx="10">
                  <c:v>515.4545454545455</c:v>
                </c:pt>
                <c:pt idx="11">
                  <c:v>558.75</c:v>
                </c:pt>
                <c:pt idx="12">
                  <c:v>602.30769230769226</c:v>
                </c:pt>
                <c:pt idx="13">
                  <c:v>646.07142857142856</c:v>
                </c:pt>
                <c:pt idx="14">
                  <c:v>690</c:v>
                </c:pt>
                <c:pt idx="15">
                  <c:v>734.0625</c:v>
                </c:pt>
                <c:pt idx="16">
                  <c:v>778.23529411764707</c:v>
                </c:pt>
                <c:pt idx="17">
                  <c:v>822.5</c:v>
                </c:pt>
              </c:numCache>
            </c:numRef>
          </c:val>
        </c:ser>
        <c:marker val="1"/>
        <c:axId val="83049472"/>
        <c:axId val="83100416"/>
      </c:lineChart>
      <c:catAx>
        <c:axId val="83049472"/>
        <c:scaling>
          <c:orientation val="minMax"/>
        </c:scaling>
        <c:axPos val="b"/>
        <c:tickLblPos val="nextTo"/>
        <c:crossAx val="83100416"/>
        <c:crosses val="autoZero"/>
        <c:auto val="1"/>
        <c:lblAlgn val="ctr"/>
        <c:lblOffset val="100"/>
      </c:catAx>
      <c:valAx>
        <c:axId val="83100416"/>
        <c:scaling>
          <c:orientation val="minMax"/>
        </c:scaling>
        <c:axPos val="l"/>
        <c:majorGridlines/>
        <c:numFmt formatCode="General" sourceLinked="1"/>
        <c:tickLblPos val="nextTo"/>
        <c:crossAx val="830494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Sheet4!$C$8</c:f>
              <c:strCache>
                <c:ptCount val="1"/>
                <c:pt idx="0">
                  <c:v>Annual order cost(D/Q*S)</c:v>
                </c:pt>
              </c:strCache>
            </c:strRef>
          </c:tx>
          <c:marker>
            <c:symbol val="none"/>
          </c:marker>
          <c:val>
            <c:numRef>
              <c:f>Sheet4!$C$9:$C$26</c:f>
              <c:numCache>
                <c:formatCode>General</c:formatCode>
                <c:ptCount val="18"/>
                <c:pt idx="0">
                  <c:v>1200</c:v>
                </c:pt>
                <c:pt idx="1">
                  <c:v>600</c:v>
                </c:pt>
                <c:pt idx="2">
                  <c:v>400</c:v>
                </c:pt>
                <c:pt idx="3">
                  <c:v>300</c:v>
                </c:pt>
                <c:pt idx="4">
                  <c:v>240</c:v>
                </c:pt>
                <c:pt idx="5">
                  <c:v>200</c:v>
                </c:pt>
                <c:pt idx="6">
                  <c:v>171.42857142857142</c:v>
                </c:pt>
                <c:pt idx="7">
                  <c:v>150</c:v>
                </c:pt>
                <c:pt idx="8">
                  <c:v>133.33333333333331</c:v>
                </c:pt>
                <c:pt idx="9">
                  <c:v>120</c:v>
                </c:pt>
                <c:pt idx="10">
                  <c:v>109.09090909090908</c:v>
                </c:pt>
                <c:pt idx="11">
                  <c:v>100</c:v>
                </c:pt>
                <c:pt idx="12">
                  <c:v>92.307692307692307</c:v>
                </c:pt>
                <c:pt idx="13">
                  <c:v>85.714285714285708</c:v>
                </c:pt>
                <c:pt idx="14">
                  <c:v>80</c:v>
                </c:pt>
                <c:pt idx="15">
                  <c:v>75</c:v>
                </c:pt>
                <c:pt idx="16">
                  <c:v>70.588235294117652</c:v>
                </c:pt>
                <c:pt idx="17">
                  <c:v>66.666666666666657</c:v>
                </c:pt>
              </c:numCache>
            </c:numRef>
          </c:val>
        </c:ser>
        <c:ser>
          <c:idx val="1"/>
          <c:order val="1"/>
          <c:tx>
            <c:strRef>
              <c:f>Sheet4!$D$8</c:f>
              <c:strCache>
                <c:ptCount val="1"/>
                <c:pt idx="0">
                  <c:v>Annua holding cost(Q/2*H)</c:v>
                </c:pt>
              </c:strCache>
            </c:strRef>
          </c:tx>
          <c:marker>
            <c:symbol val="none"/>
          </c:marker>
          <c:val>
            <c:numRef>
              <c:f>Sheet4!$D$9:$D$26</c:f>
              <c:numCache>
                <c:formatCode>General</c:formatCode>
                <c:ptCount val="18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</c:numCache>
            </c:numRef>
          </c:val>
        </c:ser>
        <c:ser>
          <c:idx val="2"/>
          <c:order val="2"/>
          <c:tx>
            <c:strRef>
              <c:f>Sheet4!$E$8</c:f>
              <c:strCache>
                <c:ptCount val="1"/>
                <c:pt idx="0">
                  <c:v>Annual total cost</c:v>
                </c:pt>
              </c:strCache>
            </c:strRef>
          </c:tx>
          <c:marker>
            <c:symbol val="none"/>
          </c:marker>
          <c:val>
            <c:numRef>
              <c:f>Sheet4!$E$9:$E$26</c:f>
              <c:numCache>
                <c:formatCode>General</c:formatCode>
                <c:ptCount val="18"/>
                <c:pt idx="0">
                  <c:v>2200</c:v>
                </c:pt>
                <c:pt idx="1">
                  <c:v>2600</c:v>
                </c:pt>
                <c:pt idx="2">
                  <c:v>3400</c:v>
                </c:pt>
                <c:pt idx="3">
                  <c:v>4300</c:v>
                </c:pt>
                <c:pt idx="4">
                  <c:v>5240</c:v>
                </c:pt>
                <c:pt idx="5">
                  <c:v>6200</c:v>
                </c:pt>
                <c:pt idx="6">
                  <c:v>7171.4285714285716</c:v>
                </c:pt>
                <c:pt idx="7">
                  <c:v>8150</c:v>
                </c:pt>
                <c:pt idx="8">
                  <c:v>9133.3333333333339</c:v>
                </c:pt>
                <c:pt idx="9">
                  <c:v>10120</c:v>
                </c:pt>
                <c:pt idx="10">
                  <c:v>11109.09090909091</c:v>
                </c:pt>
                <c:pt idx="11">
                  <c:v>12100</c:v>
                </c:pt>
                <c:pt idx="12">
                  <c:v>13092.307692307691</c:v>
                </c:pt>
                <c:pt idx="13">
                  <c:v>14085.714285714286</c:v>
                </c:pt>
                <c:pt idx="14">
                  <c:v>15080</c:v>
                </c:pt>
                <c:pt idx="15">
                  <c:v>16075</c:v>
                </c:pt>
                <c:pt idx="16">
                  <c:v>17070.588235294119</c:v>
                </c:pt>
                <c:pt idx="17">
                  <c:v>18066.666666666668</c:v>
                </c:pt>
              </c:numCache>
            </c:numRef>
          </c:val>
        </c:ser>
        <c:marker val="1"/>
        <c:axId val="83122048"/>
        <c:axId val="83123584"/>
      </c:lineChart>
      <c:catAx>
        <c:axId val="83122048"/>
        <c:scaling>
          <c:orientation val="minMax"/>
        </c:scaling>
        <c:axPos val="b"/>
        <c:tickLblPos val="nextTo"/>
        <c:crossAx val="83123584"/>
        <c:crosses val="autoZero"/>
        <c:auto val="1"/>
        <c:lblAlgn val="ctr"/>
        <c:lblOffset val="100"/>
      </c:catAx>
      <c:valAx>
        <c:axId val="83123584"/>
        <c:scaling>
          <c:orientation val="minMax"/>
        </c:scaling>
        <c:axPos val="l"/>
        <c:majorGridlines/>
        <c:numFmt formatCode="General" sourceLinked="1"/>
        <c:tickLblPos val="nextTo"/>
        <c:crossAx val="83122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6</xdr:row>
      <xdr:rowOff>38099</xdr:rowOff>
    </xdr:from>
    <xdr:to>
      <xdr:col>13</xdr:col>
      <xdr:colOff>257175</xdr:colOff>
      <xdr:row>21</xdr:row>
      <xdr:rowOff>123824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0.39792</cdr:x>
      <cdr:y>0.87055</cdr:y>
    </cdr:from>
    <cdr:to>
      <cdr:x>0.59792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42016" y="2562226"/>
          <a:ext cx="925830" cy="3809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No of orders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5</xdr:row>
      <xdr:rowOff>114300</xdr:rowOff>
    </xdr:from>
    <xdr:to>
      <xdr:col>13</xdr:col>
      <xdr:colOff>361950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28575</xdr:rowOff>
    </xdr:from>
    <xdr:to>
      <xdr:col>13</xdr:col>
      <xdr:colOff>304800</xdr:colOff>
      <xdr:row>20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8</xdr:row>
      <xdr:rowOff>9525</xdr:rowOff>
    </xdr:from>
    <xdr:to>
      <xdr:col>13</xdr:col>
      <xdr:colOff>9525</xdr:colOff>
      <xdr:row>22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activeCell="A2" sqref="A2:A15"/>
    </sheetView>
  </sheetViews>
  <sheetFormatPr defaultRowHeight="15"/>
  <cols>
    <col min="1" max="1" width="18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50</v>
      </c>
      <c r="B2">
        <v>40</v>
      </c>
      <c r="C2">
        <v>40000</v>
      </c>
      <c r="D2">
        <v>625</v>
      </c>
      <c r="E2">
        <f>C2+D2</f>
        <v>40625</v>
      </c>
    </row>
    <row r="3" spans="1:5">
      <c r="A3">
        <v>100</v>
      </c>
      <c r="B3">
        <v>20</v>
      </c>
      <c r="C3">
        <v>20000</v>
      </c>
      <c r="D3">
        <v>1250</v>
      </c>
      <c r="E3">
        <f t="shared" ref="E3:E15" si="0">C3+D3</f>
        <v>21250</v>
      </c>
    </row>
    <row r="4" spans="1:5">
      <c r="A4">
        <v>150</v>
      </c>
      <c r="B4">
        <v>13</v>
      </c>
      <c r="C4">
        <v>13333</v>
      </c>
      <c r="D4">
        <v>1875</v>
      </c>
      <c r="E4">
        <f t="shared" si="0"/>
        <v>15208</v>
      </c>
    </row>
    <row r="5" spans="1:5">
      <c r="A5">
        <v>200</v>
      </c>
      <c r="B5">
        <v>10</v>
      </c>
      <c r="C5">
        <v>10000</v>
      </c>
      <c r="D5">
        <v>2500</v>
      </c>
      <c r="E5">
        <f t="shared" si="0"/>
        <v>12500</v>
      </c>
    </row>
    <row r="6" spans="1:5">
      <c r="A6">
        <v>250</v>
      </c>
      <c r="B6">
        <v>8</v>
      </c>
      <c r="C6">
        <v>8000</v>
      </c>
      <c r="D6">
        <v>3125</v>
      </c>
      <c r="E6">
        <f t="shared" si="0"/>
        <v>11125</v>
      </c>
    </row>
    <row r="7" spans="1:5">
      <c r="A7">
        <v>300</v>
      </c>
      <c r="B7">
        <v>7</v>
      </c>
      <c r="C7">
        <v>6667</v>
      </c>
      <c r="D7">
        <v>3750</v>
      </c>
      <c r="E7">
        <f t="shared" si="0"/>
        <v>10417</v>
      </c>
    </row>
    <row r="8" spans="1:5">
      <c r="A8">
        <v>350</v>
      </c>
      <c r="B8">
        <v>6</v>
      </c>
      <c r="C8">
        <v>5714</v>
      </c>
      <c r="D8">
        <v>4375</v>
      </c>
      <c r="E8">
        <f t="shared" si="0"/>
        <v>10089</v>
      </c>
    </row>
    <row r="9" spans="1:5">
      <c r="A9">
        <v>400</v>
      </c>
      <c r="B9">
        <v>5</v>
      </c>
      <c r="C9">
        <v>5000</v>
      </c>
      <c r="D9">
        <v>5000</v>
      </c>
      <c r="E9">
        <f t="shared" si="0"/>
        <v>10000</v>
      </c>
    </row>
    <row r="10" spans="1:5">
      <c r="A10">
        <v>450</v>
      </c>
      <c r="B10">
        <v>4</v>
      </c>
      <c r="C10">
        <v>4444</v>
      </c>
      <c r="D10">
        <v>5625</v>
      </c>
      <c r="E10">
        <f t="shared" si="0"/>
        <v>10069</v>
      </c>
    </row>
    <row r="11" spans="1:5">
      <c r="A11">
        <v>500</v>
      </c>
      <c r="B11">
        <v>4</v>
      </c>
      <c r="C11">
        <v>4000</v>
      </c>
      <c r="D11">
        <v>6250</v>
      </c>
      <c r="E11">
        <f t="shared" si="0"/>
        <v>10250</v>
      </c>
    </row>
    <row r="12" spans="1:5">
      <c r="A12">
        <v>550</v>
      </c>
      <c r="B12">
        <v>4</v>
      </c>
      <c r="C12">
        <v>3636</v>
      </c>
      <c r="D12">
        <v>6875</v>
      </c>
      <c r="E12">
        <f t="shared" si="0"/>
        <v>10511</v>
      </c>
    </row>
    <row r="13" spans="1:5">
      <c r="A13">
        <v>600</v>
      </c>
      <c r="B13">
        <v>3</v>
      </c>
      <c r="C13">
        <v>3333</v>
      </c>
      <c r="D13">
        <v>7500</v>
      </c>
      <c r="E13">
        <f t="shared" si="0"/>
        <v>10833</v>
      </c>
    </row>
    <row r="14" spans="1:5">
      <c r="A14">
        <v>650</v>
      </c>
      <c r="B14">
        <v>3</v>
      </c>
      <c r="C14">
        <v>3077</v>
      </c>
      <c r="D14">
        <v>8125</v>
      </c>
      <c r="E14">
        <f t="shared" si="0"/>
        <v>11202</v>
      </c>
    </row>
    <row r="15" spans="1:5">
      <c r="A15">
        <v>700</v>
      </c>
      <c r="B15">
        <v>3</v>
      </c>
      <c r="C15">
        <v>2857</v>
      </c>
      <c r="D15">
        <v>8750</v>
      </c>
      <c r="E15">
        <f t="shared" si="0"/>
        <v>11607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zoomScale="85" zoomScaleNormal="85" workbookViewId="0">
      <selection activeCell="I3" sqref="I3"/>
    </sheetView>
  </sheetViews>
  <sheetFormatPr defaultRowHeight="15"/>
  <cols>
    <col min="1" max="1" width="16.85546875" bestFit="1" customWidth="1"/>
    <col min="2" max="2" width="20.85546875" bestFit="1" customWidth="1"/>
    <col min="3" max="3" width="24" bestFit="1" customWidth="1"/>
    <col min="4" max="4" width="25.28515625" bestFit="1" customWidth="1"/>
    <col min="5" max="5" width="16" bestFit="1" customWidth="1"/>
    <col min="6" max="6" width="9.42578125" customWidth="1"/>
  </cols>
  <sheetData>
    <row r="1" spans="1:9">
      <c r="A1" t="s">
        <v>5</v>
      </c>
      <c r="B1" t="s">
        <v>6</v>
      </c>
      <c r="C1" t="s">
        <v>7</v>
      </c>
      <c r="E1" t="s">
        <v>11</v>
      </c>
      <c r="F1">
        <v>15000</v>
      </c>
    </row>
    <row r="2" spans="1:9">
      <c r="A2">
        <v>15000</v>
      </c>
      <c r="B2">
        <v>1000</v>
      </c>
      <c r="C2">
        <v>1500</v>
      </c>
      <c r="E2" t="s">
        <v>8</v>
      </c>
      <c r="F2">
        <v>15</v>
      </c>
      <c r="H2" t="s">
        <v>10</v>
      </c>
      <c r="I2">
        <f>POWER(((2*F2*A2)/F3),0.5)</f>
        <v>948.68329805051383</v>
      </c>
    </row>
    <row r="3" spans="1:9">
      <c r="E3" t="s">
        <v>9</v>
      </c>
      <c r="F3">
        <v>0.5</v>
      </c>
    </row>
    <row r="4" spans="1:9">
      <c r="E4" t="s">
        <v>6</v>
      </c>
      <c r="F4">
        <v>0.65</v>
      </c>
    </row>
    <row r="5" spans="1:9">
      <c r="E5" t="s">
        <v>7</v>
      </c>
      <c r="F5">
        <v>0.9</v>
      </c>
    </row>
    <row r="7" spans="1:9">
      <c r="A7" t="s">
        <v>12</v>
      </c>
      <c r="B7" t="s">
        <v>36</v>
      </c>
      <c r="C7" t="s">
        <v>37</v>
      </c>
      <c r="D7" t="s">
        <v>38</v>
      </c>
      <c r="E7" t="s">
        <v>35</v>
      </c>
    </row>
    <row r="8" spans="1:9">
      <c r="A8">
        <v>100</v>
      </c>
      <c r="B8">
        <f>A$2/A8</f>
        <v>150</v>
      </c>
      <c r="C8">
        <f>B8*F$2</f>
        <v>2250</v>
      </c>
      <c r="D8">
        <f>(A8/2)*F$3</f>
        <v>25</v>
      </c>
      <c r="E8">
        <f>C8+D8</f>
        <v>2275</v>
      </c>
    </row>
    <row r="9" spans="1:9">
      <c r="A9">
        <v>200</v>
      </c>
      <c r="B9">
        <f t="shared" ref="B9:B24" si="0">A$2/A9</f>
        <v>75</v>
      </c>
      <c r="C9">
        <f t="shared" ref="C9:C24" si="1">B9*F$2</f>
        <v>1125</v>
      </c>
      <c r="D9">
        <f t="shared" ref="D9:D24" si="2">(A9/2)*F$3</f>
        <v>50</v>
      </c>
      <c r="E9">
        <f t="shared" ref="E9:E24" si="3">C9+D9</f>
        <v>1175</v>
      </c>
    </row>
    <row r="10" spans="1:9">
      <c r="A10">
        <v>300</v>
      </c>
      <c r="B10">
        <f t="shared" si="0"/>
        <v>50</v>
      </c>
      <c r="C10">
        <f t="shared" si="1"/>
        <v>750</v>
      </c>
      <c r="D10">
        <f t="shared" si="2"/>
        <v>75</v>
      </c>
      <c r="E10">
        <f t="shared" si="3"/>
        <v>825</v>
      </c>
    </row>
    <row r="11" spans="1:9">
      <c r="A11">
        <v>400</v>
      </c>
      <c r="B11">
        <f t="shared" si="0"/>
        <v>37.5</v>
      </c>
      <c r="C11">
        <f t="shared" si="1"/>
        <v>562.5</v>
      </c>
      <c r="D11">
        <f t="shared" si="2"/>
        <v>100</v>
      </c>
      <c r="E11">
        <f t="shared" si="3"/>
        <v>662.5</v>
      </c>
    </row>
    <row r="12" spans="1:9">
      <c r="A12">
        <v>500</v>
      </c>
      <c r="B12">
        <f t="shared" si="0"/>
        <v>30</v>
      </c>
      <c r="C12">
        <f t="shared" si="1"/>
        <v>450</v>
      </c>
      <c r="D12">
        <f t="shared" si="2"/>
        <v>125</v>
      </c>
      <c r="E12">
        <f t="shared" si="3"/>
        <v>575</v>
      </c>
    </row>
    <row r="13" spans="1:9">
      <c r="A13">
        <v>600</v>
      </c>
      <c r="B13">
        <f t="shared" si="0"/>
        <v>25</v>
      </c>
      <c r="C13">
        <f t="shared" si="1"/>
        <v>375</v>
      </c>
      <c r="D13">
        <f t="shared" si="2"/>
        <v>150</v>
      </c>
      <c r="E13">
        <f t="shared" si="3"/>
        <v>525</v>
      </c>
    </row>
    <row r="14" spans="1:9">
      <c r="A14">
        <v>700</v>
      </c>
      <c r="B14">
        <f t="shared" si="0"/>
        <v>21.428571428571427</v>
      </c>
      <c r="C14">
        <f t="shared" si="1"/>
        <v>321.42857142857139</v>
      </c>
      <c r="D14">
        <f t="shared" si="2"/>
        <v>175</v>
      </c>
      <c r="E14">
        <f t="shared" si="3"/>
        <v>496.42857142857139</v>
      </c>
    </row>
    <row r="15" spans="1:9">
      <c r="A15">
        <v>800</v>
      </c>
      <c r="B15">
        <f t="shared" si="0"/>
        <v>18.75</v>
      </c>
      <c r="C15">
        <f t="shared" si="1"/>
        <v>281.25</v>
      </c>
      <c r="D15">
        <f t="shared" si="2"/>
        <v>200</v>
      </c>
      <c r="E15">
        <f t="shared" si="3"/>
        <v>481.25</v>
      </c>
    </row>
    <row r="16" spans="1:9">
      <c r="A16">
        <v>900</v>
      </c>
      <c r="B16">
        <f t="shared" si="0"/>
        <v>16.666666666666668</v>
      </c>
      <c r="C16">
        <f t="shared" si="1"/>
        <v>250.00000000000003</v>
      </c>
      <c r="D16">
        <f t="shared" si="2"/>
        <v>225</v>
      </c>
      <c r="E16">
        <f t="shared" si="3"/>
        <v>475</v>
      </c>
    </row>
    <row r="17" spans="1:5">
      <c r="A17">
        <v>1000</v>
      </c>
      <c r="B17">
        <f t="shared" si="0"/>
        <v>15</v>
      </c>
      <c r="C17">
        <f t="shared" si="1"/>
        <v>225</v>
      </c>
      <c r="D17">
        <f t="shared" si="2"/>
        <v>250</v>
      </c>
      <c r="E17">
        <f t="shared" si="3"/>
        <v>475</v>
      </c>
    </row>
    <row r="18" spans="1:5">
      <c r="A18">
        <v>1100</v>
      </c>
      <c r="B18">
        <f t="shared" si="0"/>
        <v>13.636363636363637</v>
      </c>
      <c r="C18">
        <f t="shared" si="1"/>
        <v>204.54545454545456</v>
      </c>
      <c r="D18">
        <f t="shared" si="2"/>
        <v>275</v>
      </c>
      <c r="E18">
        <f t="shared" si="3"/>
        <v>479.54545454545456</v>
      </c>
    </row>
    <row r="19" spans="1:5">
      <c r="A19">
        <v>1200</v>
      </c>
      <c r="B19">
        <f t="shared" si="0"/>
        <v>12.5</v>
      </c>
      <c r="C19">
        <f t="shared" si="1"/>
        <v>187.5</v>
      </c>
      <c r="D19">
        <f t="shared" si="2"/>
        <v>300</v>
      </c>
      <c r="E19">
        <f t="shared" si="3"/>
        <v>487.5</v>
      </c>
    </row>
    <row r="20" spans="1:5">
      <c r="A20">
        <v>1300</v>
      </c>
      <c r="B20">
        <f t="shared" si="0"/>
        <v>11.538461538461538</v>
      </c>
      <c r="C20">
        <f t="shared" si="1"/>
        <v>173.07692307692307</v>
      </c>
      <c r="D20">
        <f t="shared" si="2"/>
        <v>325</v>
      </c>
      <c r="E20">
        <f t="shared" si="3"/>
        <v>498.07692307692309</v>
      </c>
    </row>
    <row r="21" spans="1:5">
      <c r="A21">
        <v>1400</v>
      </c>
      <c r="B21">
        <f t="shared" si="0"/>
        <v>10.714285714285714</v>
      </c>
      <c r="C21">
        <f t="shared" si="1"/>
        <v>160.71428571428569</v>
      </c>
      <c r="D21">
        <f t="shared" si="2"/>
        <v>350</v>
      </c>
      <c r="E21">
        <f t="shared" si="3"/>
        <v>510.71428571428567</v>
      </c>
    </row>
    <row r="22" spans="1:5">
      <c r="A22">
        <v>1500</v>
      </c>
      <c r="B22">
        <f t="shared" si="0"/>
        <v>10</v>
      </c>
      <c r="C22">
        <f t="shared" si="1"/>
        <v>150</v>
      </c>
      <c r="D22">
        <f t="shared" si="2"/>
        <v>375</v>
      </c>
      <c r="E22">
        <f t="shared" si="3"/>
        <v>525</v>
      </c>
    </row>
    <row r="23" spans="1:5">
      <c r="A23">
        <v>1600</v>
      </c>
      <c r="B23">
        <f t="shared" si="0"/>
        <v>9.375</v>
      </c>
      <c r="C23">
        <f t="shared" si="1"/>
        <v>140.625</v>
      </c>
      <c r="D23">
        <f t="shared" si="2"/>
        <v>400</v>
      </c>
      <c r="E23">
        <f t="shared" si="3"/>
        <v>540.625</v>
      </c>
    </row>
    <row r="24" spans="1:5">
      <c r="A24">
        <v>1700</v>
      </c>
      <c r="B24">
        <f t="shared" si="0"/>
        <v>8.8235294117647065</v>
      </c>
      <c r="C24">
        <f t="shared" si="1"/>
        <v>132.35294117647061</v>
      </c>
      <c r="D24">
        <f t="shared" si="2"/>
        <v>425</v>
      </c>
      <c r="E24">
        <f t="shared" si="3"/>
        <v>557.35294117647061</v>
      </c>
    </row>
    <row r="27" spans="1:5">
      <c r="A27">
        <f>SUM(A8:A25)</f>
        <v>15300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I1" sqref="I1"/>
    </sheetView>
  </sheetViews>
  <sheetFormatPr defaultRowHeight="15"/>
  <cols>
    <col min="1" max="1" width="16.85546875" bestFit="1" customWidth="1"/>
    <col min="2" max="2" width="20.85546875" bestFit="1" customWidth="1"/>
    <col min="3" max="3" width="24" bestFit="1" customWidth="1"/>
    <col min="4" max="4" width="25.28515625" bestFit="1" customWidth="1"/>
    <col min="5" max="5" width="16" bestFit="1" customWidth="1"/>
  </cols>
  <sheetData>
    <row r="1" spans="1:9">
      <c r="A1" t="s">
        <v>5</v>
      </c>
      <c r="B1" t="s">
        <v>6</v>
      </c>
      <c r="C1" t="s">
        <v>7</v>
      </c>
      <c r="E1" t="s">
        <v>11</v>
      </c>
      <c r="F1">
        <v>15000</v>
      </c>
      <c r="H1" t="s">
        <v>10</v>
      </c>
      <c r="I1">
        <f>POWER(((2*F2*B2)/F3),0.5)</f>
        <v>214.83446221182984</v>
      </c>
    </row>
    <row r="2" spans="1:9">
      <c r="A2">
        <v>15000</v>
      </c>
      <c r="B2">
        <v>1000</v>
      </c>
      <c r="C2">
        <v>1500</v>
      </c>
      <c r="E2" t="s">
        <v>8</v>
      </c>
      <c r="F2">
        <v>15</v>
      </c>
    </row>
    <row r="3" spans="1:9">
      <c r="E3" t="s">
        <v>9</v>
      </c>
      <c r="F3">
        <v>0.65</v>
      </c>
    </row>
    <row r="4" spans="1:9">
      <c r="E4" t="s">
        <v>6</v>
      </c>
      <c r="F4">
        <v>0.65</v>
      </c>
    </row>
    <row r="5" spans="1:9">
      <c r="E5" t="s">
        <v>7</v>
      </c>
      <c r="F5">
        <v>0.9</v>
      </c>
    </row>
    <row r="7" spans="1:9">
      <c r="A7" t="s">
        <v>12</v>
      </c>
      <c r="B7" t="s">
        <v>36</v>
      </c>
      <c r="C7" t="s">
        <v>37</v>
      </c>
      <c r="D7" t="s">
        <v>38</v>
      </c>
      <c r="E7" t="s">
        <v>35</v>
      </c>
    </row>
    <row r="8" spans="1:9">
      <c r="A8">
        <v>50</v>
      </c>
      <c r="B8">
        <f>B$2/A8</f>
        <v>20</v>
      </c>
      <c r="C8">
        <f>B8*F$2</f>
        <v>300</v>
      </c>
      <c r="D8">
        <f>(A8/2)*F$3</f>
        <v>16.25</v>
      </c>
      <c r="E8">
        <f>C8+D8</f>
        <v>316.25</v>
      </c>
    </row>
    <row r="9" spans="1:9">
      <c r="A9">
        <v>100</v>
      </c>
      <c r="B9">
        <f t="shared" ref="B9:B21" si="0">B$2/A9</f>
        <v>10</v>
      </c>
      <c r="C9">
        <f t="shared" ref="C9:C21" si="1">B9*F$2</f>
        <v>150</v>
      </c>
      <c r="D9">
        <f t="shared" ref="D9:D21" si="2">(A9/2)*F$3</f>
        <v>32.5</v>
      </c>
      <c r="E9">
        <f t="shared" ref="E9:E21" si="3">C9+D9</f>
        <v>182.5</v>
      </c>
    </row>
    <row r="10" spans="1:9">
      <c r="A10">
        <v>150</v>
      </c>
      <c r="B10">
        <f t="shared" si="0"/>
        <v>6.666666666666667</v>
      </c>
      <c r="C10">
        <f t="shared" si="1"/>
        <v>100</v>
      </c>
      <c r="D10">
        <f t="shared" si="2"/>
        <v>48.75</v>
      </c>
      <c r="E10">
        <f t="shared" si="3"/>
        <v>148.75</v>
      </c>
    </row>
    <row r="11" spans="1:9">
      <c r="A11">
        <v>200</v>
      </c>
      <c r="B11">
        <f t="shared" si="0"/>
        <v>5</v>
      </c>
      <c r="C11">
        <f t="shared" si="1"/>
        <v>75</v>
      </c>
      <c r="D11">
        <f t="shared" si="2"/>
        <v>65</v>
      </c>
      <c r="E11">
        <f t="shared" si="3"/>
        <v>140</v>
      </c>
    </row>
    <row r="12" spans="1:9">
      <c r="A12">
        <v>250</v>
      </c>
      <c r="B12">
        <f t="shared" si="0"/>
        <v>4</v>
      </c>
      <c r="C12">
        <f t="shared" si="1"/>
        <v>60</v>
      </c>
      <c r="D12">
        <f t="shared" si="2"/>
        <v>81.25</v>
      </c>
      <c r="E12">
        <f t="shared" si="3"/>
        <v>141.25</v>
      </c>
    </row>
    <row r="13" spans="1:9">
      <c r="A13">
        <v>300</v>
      </c>
      <c r="B13">
        <f t="shared" si="0"/>
        <v>3.3333333333333335</v>
      </c>
      <c r="C13">
        <f t="shared" si="1"/>
        <v>50</v>
      </c>
      <c r="D13">
        <f t="shared" si="2"/>
        <v>97.5</v>
      </c>
      <c r="E13">
        <f t="shared" si="3"/>
        <v>147.5</v>
      </c>
    </row>
    <row r="14" spans="1:9">
      <c r="A14">
        <v>350</v>
      </c>
      <c r="B14">
        <f t="shared" si="0"/>
        <v>2.8571428571428572</v>
      </c>
      <c r="C14">
        <f t="shared" si="1"/>
        <v>42.857142857142861</v>
      </c>
      <c r="D14">
        <f t="shared" si="2"/>
        <v>113.75</v>
      </c>
      <c r="E14">
        <f t="shared" si="3"/>
        <v>156.60714285714286</v>
      </c>
    </row>
    <row r="15" spans="1:9">
      <c r="A15">
        <v>400</v>
      </c>
      <c r="B15">
        <f t="shared" si="0"/>
        <v>2.5</v>
      </c>
      <c r="C15">
        <f t="shared" si="1"/>
        <v>37.5</v>
      </c>
      <c r="D15">
        <f t="shared" si="2"/>
        <v>130</v>
      </c>
      <c r="E15">
        <f t="shared" si="3"/>
        <v>167.5</v>
      </c>
    </row>
    <row r="16" spans="1:9">
      <c r="A16">
        <v>450</v>
      </c>
      <c r="B16">
        <f t="shared" si="0"/>
        <v>2.2222222222222223</v>
      </c>
      <c r="C16">
        <f t="shared" si="1"/>
        <v>33.333333333333336</v>
      </c>
      <c r="D16">
        <f t="shared" si="2"/>
        <v>146.25</v>
      </c>
      <c r="E16">
        <f t="shared" si="3"/>
        <v>179.58333333333334</v>
      </c>
    </row>
    <row r="17" spans="1:5">
      <c r="A17">
        <v>500</v>
      </c>
      <c r="B17">
        <f t="shared" si="0"/>
        <v>2</v>
      </c>
      <c r="C17">
        <f t="shared" si="1"/>
        <v>30</v>
      </c>
      <c r="D17">
        <f t="shared" si="2"/>
        <v>162.5</v>
      </c>
      <c r="E17">
        <f t="shared" si="3"/>
        <v>192.5</v>
      </c>
    </row>
    <row r="18" spans="1:5">
      <c r="A18">
        <v>550</v>
      </c>
      <c r="B18">
        <f t="shared" si="0"/>
        <v>1.8181818181818181</v>
      </c>
      <c r="C18">
        <f t="shared" si="1"/>
        <v>27.272727272727273</v>
      </c>
      <c r="D18">
        <f t="shared" si="2"/>
        <v>178.75</v>
      </c>
      <c r="E18">
        <f t="shared" si="3"/>
        <v>206.02272727272728</v>
      </c>
    </row>
    <row r="19" spans="1:5">
      <c r="A19">
        <v>600</v>
      </c>
      <c r="B19">
        <f t="shared" si="0"/>
        <v>1.6666666666666667</v>
      </c>
      <c r="C19">
        <f t="shared" si="1"/>
        <v>25</v>
      </c>
      <c r="D19">
        <f t="shared" si="2"/>
        <v>195</v>
      </c>
      <c r="E19">
        <f t="shared" si="3"/>
        <v>220</v>
      </c>
    </row>
    <row r="20" spans="1:5">
      <c r="A20">
        <v>650</v>
      </c>
      <c r="B20">
        <f t="shared" si="0"/>
        <v>1.5384615384615385</v>
      </c>
      <c r="C20">
        <f t="shared" si="1"/>
        <v>23.076923076923077</v>
      </c>
      <c r="D20">
        <f t="shared" si="2"/>
        <v>211.25</v>
      </c>
      <c r="E20">
        <f t="shared" si="3"/>
        <v>234.32692307692307</v>
      </c>
    </row>
    <row r="21" spans="1:5">
      <c r="A21">
        <v>700</v>
      </c>
      <c r="B21">
        <f t="shared" si="0"/>
        <v>1.4285714285714286</v>
      </c>
      <c r="C21">
        <f t="shared" si="1"/>
        <v>21.428571428571431</v>
      </c>
      <c r="D21">
        <f t="shared" si="2"/>
        <v>227.5</v>
      </c>
      <c r="E21">
        <f t="shared" si="3"/>
        <v>248.92857142857144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D8" sqref="D8"/>
    </sheetView>
  </sheetViews>
  <sheetFormatPr defaultRowHeight="15"/>
  <cols>
    <col min="1" max="1" width="16.85546875" bestFit="1" customWidth="1"/>
    <col min="2" max="2" width="20.85546875" bestFit="1" customWidth="1"/>
    <col min="3" max="3" width="24" bestFit="1" customWidth="1"/>
    <col min="4" max="4" width="25.28515625" bestFit="1" customWidth="1"/>
    <col min="5" max="5" width="16" bestFit="1" customWidth="1"/>
  </cols>
  <sheetData>
    <row r="1" spans="1:9">
      <c r="A1" t="s">
        <v>5</v>
      </c>
      <c r="B1" t="s">
        <v>6</v>
      </c>
      <c r="C1" t="s">
        <v>7</v>
      </c>
      <c r="E1" t="s">
        <v>11</v>
      </c>
      <c r="F1">
        <v>15000</v>
      </c>
      <c r="H1" t="s">
        <v>10</v>
      </c>
      <c r="I1">
        <f>POWER(((2*F2*C2)/F3),0.5)</f>
        <v>223.60679774997897</v>
      </c>
    </row>
    <row r="2" spans="1:9">
      <c r="A2">
        <v>15000</v>
      </c>
      <c r="B2">
        <v>1000</v>
      </c>
      <c r="C2">
        <v>1500</v>
      </c>
      <c r="E2" t="s">
        <v>8</v>
      </c>
      <c r="F2">
        <v>15</v>
      </c>
    </row>
    <row r="3" spans="1:9">
      <c r="E3" t="s">
        <v>9</v>
      </c>
      <c r="F3">
        <v>0.9</v>
      </c>
    </row>
    <row r="4" spans="1:9">
      <c r="E4" t="s">
        <v>6</v>
      </c>
      <c r="F4">
        <v>0.65</v>
      </c>
    </row>
    <row r="5" spans="1:9">
      <c r="E5" t="s">
        <v>7</v>
      </c>
      <c r="F5">
        <v>0.9</v>
      </c>
    </row>
    <row r="7" spans="1:9">
      <c r="A7" t="s">
        <v>12</v>
      </c>
      <c r="B7" t="s">
        <v>36</v>
      </c>
      <c r="C7" t="s">
        <v>37</v>
      </c>
      <c r="D7" t="s">
        <v>38</v>
      </c>
      <c r="E7" t="s">
        <v>35</v>
      </c>
    </row>
    <row r="8" spans="1:9">
      <c r="A8">
        <v>100</v>
      </c>
      <c r="B8">
        <f>C$2/A8</f>
        <v>15</v>
      </c>
      <c r="C8">
        <f>B8*F$2</f>
        <v>225</v>
      </c>
      <c r="D8">
        <f>(A8/2)*F$3</f>
        <v>45</v>
      </c>
      <c r="E8">
        <f>C8+D8</f>
        <v>270</v>
      </c>
    </row>
    <row r="9" spans="1:9">
      <c r="A9">
        <v>200</v>
      </c>
      <c r="B9">
        <f t="shared" ref="B9:B25" si="0">C$2/A9</f>
        <v>7.5</v>
      </c>
      <c r="C9">
        <f t="shared" ref="C9:C25" si="1">B9*F$2</f>
        <v>112.5</v>
      </c>
      <c r="D9">
        <f t="shared" ref="D9:D25" si="2">(A9/2)*F$3</f>
        <v>90</v>
      </c>
      <c r="E9">
        <f t="shared" ref="E9:E25" si="3">C9+D9</f>
        <v>202.5</v>
      </c>
    </row>
    <row r="10" spans="1:9">
      <c r="A10">
        <v>300</v>
      </c>
      <c r="B10">
        <f t="shared" si="0"/>
        <v>5</v>
      </c>
      <c r="C10">
        <f t="shared" si="1"/>
        <v>75</v>
      </c>
      <c r="D10">
        <f t="shared" si="2"/>
        <v>135</v>
      </c>
      <c r="E10">
        <f t="shared" si="3"/>
        <v>210</v>
      </c>
    </row>
    <row r="11" spans="1:9">
      <c r="A11">
        <v>400</v>
      </c>
      <c r="B11">
        <f t="shared" si="0"/>
        <v>3.75</v>
      </c>
      <c r="C11">
        <f t="shared" si="1"/>
        <v>56.25</v>
      </c>
      <c r="D11">
        <f t="shared" si="2"/>
        <v>180</v>
      </c>
      <c r="E11">
        <f t="shared" si="3"/>
        <v>236.25</v>
      </c>
    </row>
    <row r="12" spans="1:9">
      <c r="A12">
        <v>500</v>
      </c>
      <c r="B12">
        <f t="shared" si="0"/>
        <v>3</v>
      </c>
      <c r="C12">
        <f t="shared" si="1"/>
        <v>45</v>
      </c>
      <c r="D12">
        <f t="shared" si="2"/>
        <v>225</v>
      </c>
      <c r="E12">
        <f t="shared" si="3"/>
        <v>270</v>
      </c>
    </row>
    <row r="13" spans="1:9">
      <c r="A13">
        <v>600</v>
      </c>
      <c r="B13">
        <f t="shared" si="0"/>
        <v>2.5</v>
      </c>
      <c r="C13">
        <f t="shared" si="1"/>
        <v>37.5</v>
      </c>
      <c r="D13">
        <f t="shared" si="2"/>
        <v>270</v>
      </c>
      <c r="E13">
        <f t="shared" si="3"/>
        <v>307.5</v>
      </c>
    </row>
    <row r="14" spans="1:9">
      <c r="A14">
        <v>700</v>
      </c>
      <c r="B14">
        <f t="shared" si="0"/>
        <v>2.1428571428571428</v>
      </c>
      <c r="C14">
        <f t="shared" si="1"/>
        <v>32.142857142857139</v>
      </c>
      <c r="D14">
        <f t="shared" si="2"/>
        <v>315</v>
      </c>
      <c r="E14">
        <f t="shared" si="3"/>
        <v>347.14285714285711</v>
      </c>
    </row>
    <row r="15" spans="1:9">
      <c r="A15">
        <v>800</v>
      </c>
      <c r="B15">
        <f t="shared" si="0"/>
        <v>1.875</v>
      </c>
      <c r="C15">
        <f t="shared" si="1"/>
        <v>28.125</v>
      </c>
      <c r="D15">
        <f t="shared" si="2"/>
        <v>360</v>
      </c>
      <c r="E15">
        <f t="shared" si="3"/>
        <v>388.125</v>
      </c>
    </row>
    <row r="16" spans="1:9">
      <c r="A16">
        <v>900</v>
      </c>
      <c r="B16">
        <f t="shared" si="0"/>
        <v>1.6666666666666667</v>
      </c>
      <c r="C16">
        <f t="shared" si="1"/>
        <v>25</v>
      </c>
      <c r="D16">
        <f t="shared" si="2"/>
        <v>405</v>
      </c>
      <c r="E16">
        <f t="shared" si="3"/>
        <v>430</v>
      </c>
    </row>
    <row r="17" spans="1:5">
      <c r="A17">
        <v>1000</v>
      </c>
      <c r="B17">
        <f t="shared" si="0"/>
        <v>1.5</v>
      </c>
      <c r="C17">
        <f t="shared" si="1"/>
        <v>22.5</v>
      </c>
      <c r="D17">
        <f t="shared" si="2"/>
        <v>450</v>
      </c>
      <c r="E17">
        <f t="shared" si="3"/>
        <v>472.5</v>
      </c>
    </row>
    <row r="18" spans="1:5">
      <c r="A18">
        <v>1100</v>
      </c>
      <c r="B18">
        <f t="shared" si="0"/>
        <v>1.3636363636363635</v>
      </c>
      <c r="C18">
        <f t="shared" si="1"/>
        <v>20.454545454545453</v>
      </c>
      <c r="D18">
        <f t="shared" si="2"/>
        <v>495</v>
      </c>
      <c r="E18">
        <f t="shared" si="3"/>
        <v>515.4545454545455</v>
      </c>
    </row>
    <row r="19" spans="1:5">
      <c r="A19">
        <v>1200</v>
      </c>
      <c r="B19">
        <f t="shared" si="0"/>
        <v>1.25</v>
      </c>
      <c r="C19">
        <f t="shared" si="1"/>
        <v>18.75</v>
      </c>
      <c r="D19">
        <f t="shared" si="2"/>
        <v>540</v>
      </c>
      <c r="E19">
        <f t="shared" si="3"/>
        <v>558.75</v>
      </c>
    </row>
    <row r="20" spans="1:5">
      <c r="A20">
        <v>1300</v>
      </c>
      <c r="B20">
        <f t="shared" si="0"/>
        <v>1.1538461538461537</v>
      </c>
      <c r="C20">
        <f t="shared" si="1"/>
        <v>17.307692307692307</v>
      </c>
      <c r="D20">
        <f t="shared" si="2"/>
        <v>585</v>
      </c>
      <c r="E20">
        <f t="shared" si="3"/>
        <v>602.30769230769226</v>
      </c>
    </row>
    <row r="21" spans="1:5">
      <c r="A21">
        <v>1400</v>
      </c>
      <c r="B21">
        <f t="shared" si="0"/>
        <v>1.0714285714285714</v>
      </c>
      <c r="C21">
        <f t="shared" si="1"/>
        <v>16.071428571428569</v>
      </c>
      <c r="D21">
        <f t="shared" si="2"/>
        <v>630</v>
      </c>
      <c r="E21">
        <f t="shared" si="3"/>
        <v>646.07142857142856</v>
      </c>
    </row>
    <row r="22" spans="1:5">
      <c r="A22">
        <v>1500</v>
      </c>
      <c r="B22">
        <f t="shared" si="0"/>
        <v>1</v>
      </c>
      <c r="C22">
        <f t="shared" si="1"/>
        <v>15</v>
      </c>
      <c r="D22">
        <f t="shared" si="2"/>
        <v>675</v>
      </c>
      <c r="E22">
        <f t="shared" si="3"/>
        <v>690</v>
      </c>
    </row>
    <row r="23" spans="1:5">
      <c r="A23">
        <v>1600</v>
      </c>
      <c r="B23">
        <f t="shared" si="0"/>
        <v>0.9375</v>
      </c>
      <c r="C23">
        <f t="shared" si="1"/>
        <v>14.0625</v>
      </c>
      <c r="D23">
        <f t="shared" si="2"/>
        <v>720</v>
      </c>
      <c r="E23">
        <f t="shared" si="3"/>
        <v>734.0625</v>
      </c>
    </row>
    <row r="24" spans="1:5">
      <c r="A24">
        <v>1700</v>
      </c>
      <c r="B24">
        <f t="shared" si="0"/>
        <v>0.88235294117647056</v>
      </c>
      <c r="C24">
        <f t="shared" si="1"/>
        <v>13.235294117647058</v>
      </c>
      <c r="D24">
        <f t="shared" si="2"/>
        <v>765</v>
      </c>
      <c r="E24">
        <f t="shared" si="3"/>
        <v>778.23529411764707</v>
      </c>
    </row>
    <row r="25" spans="1:5">
      <c r="A25">
        <v>1800</v>
      </c>
      <c r="B25">
        <f t="shared" si="0"/>
        <v>0.83333333333333337</v>
      </c>
      <c r="C25">
        <f t="shared" si="1"/>
        <v>12.5</v>
      </c>
      <c r="D25">
        <f t="shared" si="2"/>
        <v>810</v>
      </c>
      <c r="E25">
        <f t="shared" si="3"/>
        <v>822.5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tabSelected="1" topLeftCell="D1" workbookViewId="0">
      <selection activeCell="J10" sqref="J10"/>
    </sheetView>
  </sheetViews>
  <sheetFormatPr defaultRowHeight="15"/>
  <cols>
    <col min="1" max="1" width="16.85546875" bestFit="1" customWidth="1"/>
    <col min="2" max="2" width="20.85546875" bestFit="1" customWidth="1"/>
    <col min="3" max="3" width="24" bestFit="1" customWidth="1"/>
    <col min="4" max="4" width="25.28515625" bestFit="1" customWidth="1"/>
    <col min="5" max="5" width="16" bestFit="1" customWidth="1"/>
  </cols>
  <sheetData>
    <row r="1" spans="1:5">
      <c r="A1" t="s">
        <v>39</v>
      </c>
      <c r="B1">
        <v>1200</v>
      </c>
    </row>
    <row r="2" spans="1:5">
      <c r="A2" t="s">
        <v>8</v>
      </c>
      <c r="B2">
        <v>100</v>
      </c>
    </row>
    <row r="3" spans="1:5">
      <c r="A3" t="s">
        <v>40</v>
      </c>
      <c r="B3">
        <v>20</v>
      </c>
    </row>
    <row r="4" spans="1:5">
      <c r="A4" t="s">
        <v>41</v>
      </c>
      <c r="B4">
        <v>1250</v>
      </c>
    </row>
    <row r="5" spans="1:5">
      <c r="A5" t="s">
        <v>42</v>
      </c>
      <c r="B5">
        <v>1150</v>
      </c>
    </row>
    <row r="6" spans="1:5">
      <c r="A6" t="s">
        <v>43</v>
      </c>
      <c r="B6">
        <v>1050</v>
      </c>
    </row>
    <row r="8" spans="1:5">
      <c r="A8" t="s">
        <v>12</v>
      </c>
      <c r="B8" t="s">
        <v>36</v>
      </c>
      <c r="C8" t="s">
        <v>37</v>
      </c>
      <c r="D8" t="s">
        <v>38</v>
      </c>
      <c r="E8" t="s">
        <v>35</v>
      </c>
    </row>
    <row r="9" spans="1:5">
      <c r="A9">
        <v>100</v>
      </c>
      <c r="B9">
        <f>B$1/A9</f>
        <v>12</v>
      </c>
      <c r="C9">
        <f>B9*B$2</f>
        <v>1200</v>
      </c>
      <c r="D9">
        <f>(A9/2)*B$3</f>
        <v>1000</v>
      </c>
      <c r="E9">
        <f>C9+D9</f>
        <v>2200</v>
      </c>
    </row>
    <row r="10" spans="1:5">
      <c r="A10">
        <v>200</v>
      </c>
      <c r="B10">
        <f t="shared" ref="B10:B26" si="0">B$1/A10</f>
        <v>6</v>
      </c>
      <c r="C10">
        <f t="shared" ref="C10:C26" si="1">B10*B$2</f>
        <v>600</v>
      </c>
      <c r="D10">
        <f t="shared" ref="D10:D26" si="2">(A10/2)*B$3</f>
        <v>2000</v>
      </c>
      <c r="E10">
        <f t="shared" ref="E10:E26" si="3">C10+D10</f>
        <v>2600</v>
      </c>
    </row>
    <row r="11" spans="1:5">
      <c r="A11">
        <v>300</v>
      </c>
      <c r="B11">
        <f t="shared" si="0"/>
        <v>4</v>
      </c>
      <c r="C11">
        <f t="shared" si="1"/>
        <v>400</v>
      </c>
      <c r="D11">
        <f t="shared" si="2"/>
        <v>3000</v>
      </c>
      <c r="E11">
        <f t="shared" si="3"/>
        <v>3400</v>
      </c>
    </row>
    <row r="12" spans="1:5">
      <c r="A12">
        <v>400</v>
      </c>
      <c r="B12">
        <f t="shared" si="0"/>
        <v>3</v>
      </c>
      <c r="C12">
        <f t="shared" si="1"/>
        <v>300</v>
      </c>
      <c r="D12">
        <f t="shared" si="2"/>
        <v>4000</v>
      </c>
      <c r="E12">
        <f t="shared" si="3"/>
        <v>4300</v>
      </c>
    </row>
    <row r="13" spans="1:5">
      <c r="A13">
        <v>500</v>
      </c>
      <c r="B13">
        <f t="shared" si="0"/>
        <v>2.4</v>
      </c>
      <c r="C13">
        <f t="shared" si="1"/>
        <v>240</v>
      </c>
      <c r="D13">
        <f t="shared" si="2"/>
        <v>5000</v>
      </c>
      <c r="E13">
        <f t="shared" si="3"/>
        <v>5240</v>
      </c>
    </row>
    <row r="14" spans="1:5">
      <c r="A14">
        <v>600</v>
      </c>
      <c r="B14">
        <f t="shared" si="0"/>
        <v>2</v>
      </c>
      <c r="C14">
        <f t="shared" si="1"/>
        <v>200</v>
      </c>
      <c r="D14">
        <f t="shared" si="2"/>
        <v>6000</v>
      </c>
      <c r="E14">
        <f t="shared" si="3"/>
        <v>6200</v>
      </c>
    </row>
    <row r="15" spans="1:5">
      <c r="A15">
        <v>700</v>
      </c>
      <c r="B15">
        <f t="shared" si="0"/>
        <v>1.7142857142857142</v>
      </c>
      <c r="C15">
        <f t="shared" si="1"/>
        <v>171.42857142857142</v>
      </c>
      <c r="D15">
        <f t="shared" si="2"/>
        <v>7000</v>
      </c>
      <c r="E15">
        <f t="shared" si="3"/>
        <v>7171.4285714285716</v>
      </c>
    </row>
    <row r="16" spans="1:5">
      <c r="A16">
        <v>800</v>
      </c>
      <c r="B16">
        <f t="shared" si="0"/>
        <v>1.5</v>
      </c>
      <c r="C16">
        <f t="shared" si="1"/>
        <v>150</v>
      </c>
      <c r="D16">
        <f t="shared" si="2"/>
        <v>8000</v>
      </c>
      <c r="E16">
        <f t="shared" si="3"/>
        <v>8150</v>
      </c>
    </row>
    <row r="17" spans="1:5">
      <c r="A17">
        <v>900</v>
      </c>
      <c r="B17">
        <f t="shared" si="0"/>
        <v>1.3333333333333333</v>
      </c>
      <c r="C17">
        <f t="shared" si="1"/>
        <v>133.33333333333331</v>
      </c>
      <c r="D17">
        <f t="shared" si="2"/>
        <v>9000</v>
      </c>
      <c r="E17">
        <f t="shared" si="3"/>
        <v>9133.3333333333339</v>
      </c>
    </row>
    <row r="18" spans="1:5">
      <c r="A18">
        <v>1000</v>
      </c>
      <c r="B18">
        <f t="shared" si="0"/>
        <v>1.2</v>
      </c>
      <c r="C18">
        <f t="shared" si="1"/>
        <v>120</v>
      </c>
      <c r="D18">
        <f t="shared" si="2"/>
        <v>10000</v>
      </c>
      <c r="E18">
        <f t="shared" si="3"/>
        <v>10120</v>
      </c>
    </row>
    <row r="19" spans="1:5">
      <c r="A19">
        <v>1100</v>
      </c>
      <c r="B19">
        <f t="shared" si="0"/>
        <v>1.0909090909090908</v>
      </c>
      <c r="C19">
        <f t="shared" si="1"/>
        <v>109.09090909090908</v>
      </c>
      <c r="D19">
        <f t="shared" si="2"/>
        <v>11000</v>
      </c>
      <c r="E19">
        <f t="shared" si="3"/>
        <v>11109.09090909091</v>
      </c>
    </row>
    <row r="20" spans="1:5">
      <c r="A20">
        <v>1200</v>
      </c>
      <c r="B20">
        <f t="shared" si="0"/>
        <v>1</v>
      </c>
      <c r="C20">
        <f t="shared" si="1"/>
        <v>100</v>
      </c>
      <c r="D20">
        <f t="shared" si="2"/>
        <v>12000</v>
      </c>
      <c r="E20">
        <f t="shared" si="3"/>
        <v>12100</v>
      </c>
    </row>
    <row r="21" spans="1:5">
      <c r="A21">
        <v>1300</v>
      </c>
      <c r="B21">
        <f t="shared" si="0"/>
        <v>0.92307692307692313</v>
      </c>
      <c r="C21">
        <f t="shared" si="1"/>
        <v>92.307692307692307</v>
      </c>
      <c r="D21">
        <f t="shared" si="2"/>
        <v>13000</v>
      </c>
      <c r="E21">
        <f t="shared" si="3"/>
        <v>13092.307692307691</v>
      </c>
    </row>
    <row r="22" spans="1:5">
      <c r="A22">
        <v>1400</v>
      </c>
      <c r="B22">
        <f t="shared" si="0"/>
        <v>0.8571428571428571</v>
      </c>
      <c r="C22">
        <f t="shared" si="1"/>
        <v>85.714285714285708</v>
      </c>
      <c r="D22">
        <f t="shared" si="2"/>
        <v>14000</v>
      </c>
      <c r="E22">
        <f t="shared" si="3"/>
        <v>14085.714285714286</v>
      </c>
    </row>
    <row r="23" spans="1:5">
      <c r="A23">
        <v>1500</v>
      </c>
      <c r="B23">
        <f t="shared" si="0"/>
        <v>0.8</v>
      </c>
      <c r="C23">
        <f t="shared" si="1"/>
        <v>80</v>
      </c>
      <c r="D23">
        <f t="shared" si="2"/>
        <v>15000</v>
      </c>
      <c r="E23">
        <f t="shared" si="3"/>
        <v>15080</v>
      </c>
    </row>
    <row r="24" spans="1:5">
      <c r="A24">
        <v>1600</v>
      </c>
      <c r="B24">
        <f t="shared" si="0"/>
        <v>0.75</v>
      </c>
      <c r="C24">
        <f t="shared" si="1"/>
        <v>75</v>
      </c>
      <c r="D24">
        <f t="shared" si="2"/>
        <v>16000</v>
      </c>
      <c r="E24">
        <f t="shared" si="3"/>
        <v>16075</v>
      </c>
    </row>
    <row r="25" spans="1:5">
      <c r="A25">
        <v>1700</v>
      </c>
      <c r="B25">
        <f t="shared" si="0"/>
        <v>0.70588235294117652</v>
      </c>
      <c r="C25">
        <f t="shared" si="1"/>
        <v>70.588235294117652</v>
      </c>
      <c r="D25">
        <f t="shared" si="2"/>
        <v>17000</v>
      </c>
      <c r="E25">
        <f t="shared" si="3"/>
        <v>17070.588235294119</v>
      </c>
    </row>
    <row r="26" spans="1:5">
      <c r="A26">
        <v>1800</v>
      </c>
      <c r="B26">
        <f t="shared" si="0"/>
        <v>0.66666666666666663</v>
      </c>
      <c r="C26">
        <f t="shared" si="1"/>
        <v>66.666666666666657</v>
      </c>
      <c r="D26">
        <f t="shared" si="2"/>
        <v>18000</v>
      </c>
      <c r="E26">
        <f t="shared" si="3"/>
        <v>18066.666666666668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A7" sqref="A7"/>
    </sheetView>
  </sheetViews>
  <sheetFormatPr defaultRowHeight="15"/>
  <cols>
    <col min="2" max="2" width="10" bestFit="1" customWidth="1"/>
    <col min="4" max="4" width="10.7109375" customWidth="1"/>
  </cols>
  <sheetData>
    <row r="1" spans="1:4">
      <c r="A1" t="s">
        <v>44</v>
      </c>
      <c r="B1">
        <v>30</v>
      </c>
      <c r="C1">
        <v>300</v>
      </c>
      <c r="D1">
        <f>B1*C1</f>
        <v>9000</v>
      </c>
    </row>
    <row r="2" spans="1:4">
      <c r="A2" t="s">
        <v>45</v>
      </c>
      <c r="D2">
        <v>60</v>
      </c>
    </row>
    <row r="3" spans="1:4">
      <c r="A3" t="s">
        <v>8</v>
      </c>
      <c r="D3">
        <v>10</v>
      </c>
    </row>
    <row r="4" spans="1:4">
      <c r="A4" t="s">
        <v>46</v>
      </c>
      <c r="D4">
        <v>20</v>
      </c>
    </row>
    <row r="5" spans="1:4">
      <c r="A5" t="s">
        <v>47</v>
      </c>
      <c r="C5" s="10">
        <v>0.25</v>
      </c>
      <c r="D5" s="11"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selection activeCell="D19" sqref="D19"/>
    </sheetView>
  </sheetViews>
  <sheetFormatPr defaultRowHeight="15"/>
  <sheetData>
    <row r="1" spans="1:14" ht="15.75" thickBot="1">
      <c r="A1" s="1"/>
    </row>
    <row r="2" spans="1:14" ht="15.75" thickBo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1:14" ht="30.75" thickBot="1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</row>
    <row r="4" spans="1:14" ht="30.75" thickBot="1">
      <c r="A4" s="2" t="s">
        <v>28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</row>
    <row r="5" spans="1:14" ht="15.75" thickBot="1">
      <c r="A5" s="4">
        <v>39448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15.75" thickBot="1">
      <c r="A6" s="4">
        <v>39479</v>
      </c>
      <c r="B6" s="5">
        <v>390</v>
      </c>
      <c r="C6" s="5">
        <v>0</v>
      </c>
      <c r="D6" s="5">
        <v>69</v>
      </c>
      <c r="E6" s="5">
        <v>455</v>
      </c>
      <c r="F6" s="5">
        <v>786</v>
      </c>
      <c r="G6" s="5">
        <v>5.34</v>
      </c>
      <c r="H6" s="5">
        <v>279</v>
      </c>
      <c r="I6" s="5">
        <v>4</v>
      </c>
      <c r="J6" s="5">
        <v>47</v>
      </c>
      <c r="K6" s="5">
        <v>94</v>
      </c>
      <c r="L6" s="5">
        <v>162</v>
      </c>
      <c r="M6" s="5">
        <v>150</v>
      </c>
      <c r="N6" s="5">
        <v>129</v>
      </c>
    </row>
    <row r="7" spans="1:14" ht="15.75" thickBot="1">
      <c r="A7" s="4">
        <v>39508</v>
      </c>
      <c r="B7" s="5">
        <v>654</v>
      </c>
      <c r="C7" s="5">
        <v>0</v>
      </c>
      <c r="D7" s="5">
        <v>89</v>
      </c>
      <c r="E7" s="5">
        <v>749</v>
      </c>
      <c r="F7" s="5">
        <v>900</v>
      </c>
      <c r="G7" s="5">
        <v>3.84</v>
      </c>
      <c r="H7" s="5">
        <v>649</v>
      </c>
      <c r="I7" s="5">
        <v>6</v>
      </c>
      <c r="J7" s="5">
        <v>108</v>
      </c>
      <c r="K7" s="5">
        <v>174</v>
      </c>
      <c r="L7" s="5">
        <v>677</v>
      </c>
      <c r="M7" s="5">
        <v>202</v>
      </c>
      <c r="N7" s="5">
        <v>1312</v>
      </c>
    </row>
    <row r="8" spans="1:14" ht="15.75" thickBot="1">
      <c r="A8" s="4">
        <v>39539</v>
      </c>
      <c r="B8" s="5">
        <v>420</v>
      </c>
      <c r="C8" s="5">
        <v>0</v>
      </c>
      <c r="D8" s="5">
        <v>76</v>
      </c>
      <c r="E8" s="5">
        <v>494</v>
      </c>
      <c r="F8" s="5">
        <v>782</v>
      </c>
      <c r="G8" s="5">
        <v>0.54</v>
      </c>
      <c r="H8" s="5">
        <v>535</v>
      </c>
      <c r="I8" s="5">
        <v>2</v>
      </c>
      <c r="J8" s="5">
        <v>99</v>
      </c>
      <c r="K8" s="5">
        <v>872</v>
      </c>
      <c r="L8" s="5">
        <v>458</v>
      </c>
      <c r="M8" s="5">
        <v>403</v>
      </c>
      <c r="N8" s="5">
        <v>167</v>
      </c>
    </row>
    <row r="9" spans="1:14" ht="15.75" thickBot="1">
      <c r="A9" s="4">
        <v>39569</v>
      </c>
      <c r="B9" s="5">
        <v>421</v>
      </c>
      <c r="C9" s="5">
        <v>0</v>
      </c>
      <c r="D9" s="5">
        <v>100</v>
      </c>
      <c r="E9" s="5">
        <v>279</v>
      </c>
      <c r="F9" s="5">
        <v>1488</v>
      </c>
      <c r="G9" s="5">
        <v>1.38</v>
      </c>
      <c r="H9" s="5">
        <v>1907</v>
      </c>
      <c r="I9" s="5">
        <v>2</v>
      </c>
      <c r="J9" s="5">
        <v>102</v>
      </c>
      <c r="K9" s="5">
        <v>158</v>
      </c>
      <c r="L9" s="5">
        <v>655</v>
      </c>
      <c r="M9" s="5">
        <v>582</v>
      </c>
      <c r="N9" s="5">
        <v>707</v>
      </c>
    </row>
    <row r="10" spans="1:14" ht="15.75" thickBot="1">
      <c r="A10" s="4">
        <v>39600</v>
      </c>
      <c r="B10" s="5">
        <v>704</v>
      </c>
      <c r="C10" s="5">
        <v>0</v>
      </c>
      <c r="D10" s="5">
        <v>154</v>
      </c>
      <c r="E10" s="5">
        <v>487</v>
      </c>
      <c r="F10" s="5">
        <v>1310</v>
      </c>
      <c r="G10" s="5">
        <v>3.58</v>
      </c>
      <c r="H10" s="5">
        <v>553</v>
      </c>
      <c r="I10" s="5">
        <v>4</v>
      </c>
      <c r="J10" s="5">
        <v>188</v>
      </c>
      <c r="K10" s="5">
        <v>1449</v>
      </c>
      <c r="L10" s="5">
        <v>334</v>
      </c>
      <c r="M10" s="5">
        <v>145</v>
      </c>
      <c r="N10" s="5">
        <v>160</v>
      </c>
    </row>
    <row r="11" spans="1:14" ht="15.75" thickBot="1">
      <c r="A11" s="4">
        <v>39630</v>
      </c>
      <c r="B11" s="5">
        <v>686</v>
      </c>
      <c r="C11" s="5">
        <v>2</v>
      </c>
      <c r="D11" s="5">
        <v>96</v>
      </c>
      <c r="E11" s="5">
        <v>1102</v>
      </c>
      <c r="F11" s="5">
        <v>934</v>
      </c>
      <c r="G11" s="5">
        <v>0.28000000000000003</v>
      </c>
      <c r="H11" s="5">
        <v>418</v>
      </c>
      <c r="I11" s="5">
        <v>5</v>
      </c>
      <c r="J11" s="5">
        <v>394</v>
      </c>
      <c r="K11" s="5">
        <v>215</v>
      </c>
      <c r="L11" s="5">
        <v>282</v>
      </c>
      <c r="M11" s="5">
        <v>320</v>
      </c>
      <c r="N11" s="5">
        <v>1482</v>
      </c>
    </row>
    <row r="12" spans="1:14" ht="15.75" thickBot="1">
      <c r="A12" s="4">
        <v>39661</v>
      </c>
      <c r="B12" s="5">
        <v>441</v>
      </c>
      <c r="C12" s="5">
        <v>4</v>
      </c>
      <c r="D12" s="5">
        <v>112</v>
      </c>
      <c r="E12" s="5">
        <v>432</v>
      </c>
      <c r="F12" s="5">
        <v>1078</v>
      </c>
      <c r="G12" s="5">
        <v>0.22</v>
      </c>
      <c r="H12" s="5">
        <v>358</v>
      </c>
      <c r="I12" s="5">
        <v>2</v>
      </c>
      <c r="J12" s="5">
        <v>201</v>
      </c>
      <c r="K12" s="5">
        <v>94</v>
      </c>
      <c r="L12" s="5">
        <v>392</v>
      </c>
      <c r="M12" s="5">
        <v>224</v>
      </c>
      <c r="N12" s="5">
        <v>788</v>
      </c>
    </row>
    <row r="13" spans="1:14" ht="15.75" thickBot="1">
      <c r="A13" s="4">
        <v>39692</v>
      </c>
      <c r="B13" s="5">
        <v>624</v>
      </c>
      <c r="C13" s="5">
        <v>10</v>
      </c>
      <c r="D13" s="5">
        <v>103</v>
      </c>
      <c r="E13" s="5">
        <v>458</v>
      </c>
      <c r="F13" s="5">
        <v>1273</v>
      </c>
      <c r="G13" s="5">
        <v>4.9400000000000004</v>
      </c>
      <c r="H13" s="5">
        <v>337</v>
      </c>
      <c r="I13" s="5">
        <v>2</v>
      </c>
      <c r="J13" s="5">
        <v>179</v>
      </c>
      <c r="K13" s="5">
        <v>116</v>
      </c>
      <c r="L13" s="5">
        <v>1061</v>
      </c>
      <c r="M13" s="5">
        <v>406</v>
      </c>
      <c r="N13" s="5">
        <v>471</v>
      </c>
    </row>
    <row r="14" spans="1:14" ht="15.75" thickBot="1">
      <c r="A14" s="4">
        <v>39722</v>
      </c>
      <c r="B14" s="5">
        <v>453</v>
      </c>
      <c r="C14" s="5">
        <v>3</v>
      </c>
      <c r="D14" s="5">
        <v>65</v>
      </c>
      <c r="E14" s="5">
        <v>437</v>
      </c>
      <c r="F14" s="5">
        <v>835</v>
      </c>
      <c r="G14" s="5">
        <v>3</v>
      </c>
      <c r="H14" s="5">
        <v>318</v>
      </c>
      <c r="I14" s="5">
        <v>3</v>
      </c>
      <c r="J14" s="5">
        <v>106</v>
      </c>
      <c r="K14" s="5">
        <v>70</v>
      </c>
      <c r="L14" s="5">
        <v>178</v>
      </c>
      <c r="M14" s="5">
        <v>158</v>
      </c>
      <c r="N14" s="5">
        <v>76</v>
      </c>
    </row>
    <row r="15" spans="1:14" ht="15.75" thickBot="1">
      <c r="A15" s="4">
        <v>39753</v>
      </c>
      <c r="B15" s="5">
        <v>573</v>
      </c>
      <c r="C15" s="5">
        <v>6</v>
      </c>
      <c r="D15" s="5">
        <v>69</v>
      </c>
      <c r="E15" s="5">
        <v>352</v>
      </c>
      <c r="F15" s="5">
        <v>817</v>
      </c>
      <c r="G15" s="5">
        <v>3.9</v>
      </c>
      <c r="H15" s="5">
        <v>207</v>
      </c>
      <c r="I15" s="5">
        <v>1</v>
      </c>
      <c r="J15" s="5">
        <v>70</v>
      </c>
      <c r="K15" s="5">
        <v>41</v>
      </c>
      <c r="L15" s="5">
        <v>327</v>
      </c>
      <c r="M15" s="5">
        <v>199</v>
      </c>
      <c r="N15" s="5">
        <v>38</v>
      </c>
    </row>
    <row r="16" spans="1:14" ht="15.75" thickBot="1">
      <c r="A16" s="4">
        <v>39783</v>
      </c>
      <c r="B16" s="5">
        <v>508</v>
      </c>
      <c r="C16" s="5">
        <v>12</v>
      </c>
      <c r="D16" s="5">
        <v>56</v>
      </c>
      <c r="E16" s="5">
        <v>379</v>
      </c>
      <c r="F16" s="5">
        <v>373</v>
      </c>
      <c r="G16" s="5">
        <v>2.82</v>
      </c>
      <c r="H16" s="5">
        <v>124</v>
      </c>
      <c r="I16" s="5">
        <v>3</v>
      </c>
      <c r="J16" s="5">
        <v>74</v>
      </c>
      <c r="K16" s="5">
        <v>55</v>
      </c>
      <c r="L16" s="5">
        <v>316</v>
      </c>
      <c r="M16" s="5">
        <v>132</v>
      </c>
      <c r="N16" s="5">
        <v>226</v>
      </c>
    </row>
    <row r="17" spans="1:14" ht="15.75" thickBot="1">
      <c r="A17" s="4">
        <v>39814</v>
      </c>
      <c r="B17" s="5">
        <v>602</v>
      </c>
      <c r="C17" s="5">
        <v>10</v>
      </c>
      <c r="D17" s="5">
        <v>61</v>
      </c>
      <c r="E17" s="5">
        <v>463</v>
      </c>
      <c r="F17" s="5">
        <v>348</v>
      </c>
      <c r="G17" s="5">
        <v>4.82</v>
      </c>
      <c r="H17" s="5">
        <v>243</v>
      </c>
      <c r="I17" s="5">
        <v>0</v>
      </c>
      <c r="J17" s="5">
        <v>54</v>
      </c>
      <c r="K17" s="5">
        <v>67</v>
      </c>
      <c r="L17" s="5">
        <v>265</v>
      </c>
      <c r="M17" s="5">
        <v>44</v>
      </c>
      <c r="N17" s="5">
        <v>1153</v>
      </c>
    </row>
    <row r="18" spans="1:14" ht="15.75" thickBot="1">
      <c r="A18" s="4">
        <v>39845</v>
      </c>
      <c r="B18" s="5">
        <v>485</v>
      </c>
      <c r="C18" s="5">
        <v>2</v>
      </c>
      <c r="D18" s="5">
        <v>55</v>
      </c>
      <c r="E18" s="5">
        <v>294</v>
      </c>
      <c r="F18" s="5">
        <v>575</v>
      </c>
      <c r="G18" s="5">
        <v>12.08</v>
      </c>
      <c r="H18" s="5">
        <v>235</v>
      </c>
      <c r="I18" s="5">
        <v>3</v>
      </c>
      <c r="J18" s="5">
        <v>30</v>
      </c>
      <c r="K18" s="5">
        <v>34</v>
      </c>
      <c r="L18" s="5">
        <v>203</v>
      </c>
      <c r="M18" s="5">
        <v>143</v>
      </c>
      <c r="N18" s="5">
        <v>63</v>
      </c>
    </row>
    <row r="19" spans="1:14" ht="15.75" thickBot="1">
      <c r="A19" s="4">
        <v>39873</v>
      </c>
      <c r="B19" s="5">
        <v>801</v>
      </c>
      <c r="C19" s="5">
        <v>5</v>
      </c>
      <c r="D19" s="5">
        <v>93</v>
      </c>
      <c r="E19" s="5">
        <v>499</v>
      </c>
      <c r="F19" s="5">
        <v>812</v>
      </c>
      <c r="G19" s="5">
        <v>5.62</v>
      </c>
      <c r="H19" s="5">
        <v>746</v>
      </c>
      <c r="I19" s="5">
        <v>1</v>
      </c>
      <c r="J19" s="5">
        <v>128</v>
      </c>
      <c r="K19" s="5">
        <v>144</v>
      </c>
      <c r="L19" s="5">
        <v>496</v>
      </c>
      <c r="M19" s="5">
        <v>438</v>
      </c>
      <c r="N19" s="5">
        <v>662</v>
      </c>
    </row>
    <row r="20" spans="1:14" ht="15.75" thickBot="1">
      <c r="A20" s="4">
        <v>39904</v>
      </c>
      <c r="B20" s="5">
        <v>527</v>
      </c>
      <c r="C20" s="5">
        <v>14</v>
      </c>
      <c r="D20" s="5">
        <v>100</v>
      </c>
      <c r="E20" s="5">
        <v>328</v>
      </c>
      <c r="F20" s="5">
        <v>730</v>
      </c>
      <c r="G20" s="5">
        <v>0</v>
      </c>
      <c r="H20" s="5">
        <v>588</v>
      </c>
      <c r="I20" s="5">
        <v>3</v>
      </c>
      <c r="J20" s="5">
        <v>125</v>
      </c>
      <c r="K20" s="5">
        <v>2031</v>
      </c>
      <c r="L20" s="5">
        <v>140</v>
      </c>
      <c r="M20" s="5">
        <v>28</v>
      </c>
      <c r="N20" s="5">
        <v>200</v>
      </c>
    </row>
    <row r="21" spans="1:14" ht="15.75" thickBot="1">
      <c r="A21" s="4">
        <v>39934</v>
      </c>
      <c r="B21" s="5">
        <v>607</v>
      </c>
      <c r="C21" s="5">
        <v>2</v>
      </c>
      <c r="D21" s="5">
        <v>88</v>
      </c>
      <c r="E21" s="5">
        <v>344</v>
      </c>
      <c r="F21" s="5">
        <v>403</v>
      </c>
      <c r="G21" s="5">
        <v>2</v>
      </c>
      <c r="H21" s="5">
        <v>440</v>
      </c>
      <c r="I21" s="5">
        <v>6</v>
      </c>
      <c r="J21" s="5">
        <v>176</v>
      </c>
      <c r="K21" s="5">
        <v>637</v>
      </c>
      <c r="L21" s="5">
        <v>292</v>
      </c>
      <c r="M21" s="5">
        <v>411</v>
      </c>
      <c r="N21" s="5">
        <v>502</v>
      </c>
    </row>
    <row r="22" spans="1:14" ht="15.75" thickBot="1">
      <c r="A22" s="4">
        <v>39965</v>
      </c>
      <c r="B22" s="5">
        <v>679</v>
      </c>
      <c r="C22" s="5">
        <v>8</v>
      </c>
      <c r="D22" s="5">
        <v>152</v>
      </c>
      <c r="E22" s="5">
        <v>322</v>
      </c>
      <c r="F22" s="5">
        <v>916</v>
      </c>
      <c r="G22" s="5">
        <v>0.14000000000000001</v>
      </c>
      <c r="H22" s="5">
        <v>300</v>
      </c>
      <c r="I22" s="5">
        <v>2</v>
      </c>
      <c r="J22" s="5">
        <v>314</v>
      </c>
      <c r="K22" s="5">
        <v>214</v>
      </c>
      <c r="L22" s="5">
        <v>361</v>
      </c>
      <c r="M22" s="5">
        <v>415</v>
      </c>
      <c r="N22" s="5">
        <v>658</v>
      </c>
    </row>
    <row r="23" spans="1:14" ht="15.75" thickBot="1">
      <c r="A23" s="4">
        <v>39995</v>
      </c>
      <c r="B23" s="5">
        <v>511</v>
      </c>
      <c r="C23" s="5">
        <v>8</v>
      </c>
      <c r="D23" s="5">
        <v>88</v>
      </c>
      <c r="E23" s="5">
        <v>305</v>
      </c>
      <c r="F23" s="5">
        <v>686</v>
      </c>
      <c r="G23" s="5">
        <v>2.9</v>
      </c>
      <c r="H23" s="5">
        <v>260</v>
      </c>
      <c r="I23" s="5">
        <v>2</v>
      </c>
      <c r="J23" s="5">
        <v>361</v>
      </c>
      <c r="K23" s="5">
        <v>318</v>
      </c>
      <c r="L23" s="5">
        <v>1342</v>
      </c>
      <c r="M23" s="5">
        <v>1323</v>
      </c>
      <c r="N23" s="5">
        <v>595</v>
      </c>
    </row>
    <row r="24" spans="1:14" ht="15.75" thickBot="1">
      <c r="A24" s="4">
        <v>40026</v>
      </c>
      <c r="B24" s="5">
        <v>501</v>
      </c>
      <c r="C24" s="5">
        <v>6</v>
      </c>
      <c r="D24" s="5">
        <v>105</v>
      </c>
      <c r="E24" s="5">
        <v>471</v>
      </c>
      <c r="F24" s="5">
        <v>534</v>
      </c>
      <c r="G24" s="5">
        <v>2.16</v>
      </c>
      <c r="H24" s="5">
        <v>290</v>
      </c>
      <c r="I24" s="5">
        <v>6</v>
      </c>
      <c r="J24" s="5">
        <v>382</v>
      </c>
      <c r="K24" s="5">
        <v>352</v>
      </c>
      <c r="L24" s="5">
        <v>824</v>
      </c>
      <c r="M24" s="5">
        <v>682</v>
      </c>
      <c r="N24" s="5">
        <v>431</v>
      </c>
    </row>
    <row r="25" spans="1:14" ht="15.75" thickBot="1">
      <c r="A25" s="4">
        <v>40057</v>
      </c>
      <c r="B25" s="5">
        <v>576</v>
      </c>
      <c r="C25" s="5">
        <v>5</v>
      </c>
      <c r="D25" s="5">
        <v>116</v>
      </c>
      <c r="E25" s="5">
        <v>471</v>
      </c>
      <c r="F25" s="5">
        <v>716</v>
      </c>
      <c r="G25" s="5">
        <v>5.4</v>
      </c>
      <c r="H25" s="5">
        <v>545</v>
      </c>
      <c r="I25" s="5">
        <v>6</v>
      </c>
      <c r="J25" s="5">
        <v>268</v>
      </c>
      <c r="K25" s="5">
        <v>168</v>
      </c>
      <c r="L25" s="5">
        <v>711</v>
      </c>
      <c r="M25" s="5">
        <v>384</v>
      </c>
      <c r="N25" s="5">
        <v>439</v>
      </c>
    </row>
    <row r="26" spans="1:14" ht="15.75" thickBot="1">
      <c r="A26" s="4">
        <v>40087</v>
      </c>
      <c r="B26" s="5">
        <v>523</v>
      </c>
      <c r="C26" s="5">
        <v>2</v>
      </c>
      <c r="D26" s="5">
        <v>72</v>
      </c>
      <c r="E26" s="5">
        <v>358</v>
      </c>
      <c r="F26" s="5">
        <v>442</v>
      </c>
      <c r="G26" s="5">
        <v>11.86</v>
      </c>
      <c r="H26" s="5">
        <v>260</v>
      </c>
      <c r="I26" s="5">
        <v>5</v>
      </c>
      <c r="J26" s="5">
        <v>83</v>
      </c>
      <c r="K26" s="5">
        <v>204</v>
      </c>
      <c r="L26" s="5">
        <v>90</v>
      </c>
      <c r="M26" s="5">
        <v>73</v>
      </c>
      <c r="N26" s="5">
        <v>215</v>
      </c>
    </row>
    <row r="27" spans="1:14" ht="15.75" thickBot="1">
      <c r="A27" s="4">
        <v>40118</v>
      </c>
      <c r="B27" s="5">
        <v>514</v>
      </c>
      <c r="C27" s="5">
        <v>6</v>
      </c>
      <c r="D27" s="5">
        <v>77</v>
      </c>
      <c r="E27" s="5">
        <v>413</v>
      </c>
      <c r="F27" s="5">
        <v>535</v>
      </c>
      <c r="G27" s="5">
        <v>5.52</v>
      </c>
      <c r="H27" s="5">
        <v>186</v>
      </c>
      <c r="I27" s="5">
        <v>0</v>
      </c>
      <c r="J27" s="5">
        <v>88</v>
      </c>
      <c r="K27" s="5">
        <v>162</v>
      </c>
      <c r="L27" s="5">
        <v>361</v>
      </c>
      <c r="M27" s="5">
        <v>84</v>
      </c>
      <c r="N27" s="5">
        <v>76</v>
      </c>
    </row>
    <row r="28" spans="1:14" ht="15.75" thickBot="1">
      <c r="A28" s="4">
        <v>40148</v>
      </c>
      <c r="B28" s="5">
        <v>516</v>
      </c>
      <c r="C28" s="5">
        <v>9</v>
      </c>
      <c r="D28" s="5">
        <v>69</v>
      </c>
      <c r="E28" s="5">
        <v>358</v>
      </c>
      <c r="F28" s="5">
        <v>288</v>
      </c>
      <c r="G28" s="5">
        <v>15.24</v>
      </c>
      <c r="H28" s="5">
        <v>100</v>
      </c>
      <c r="I28" s="5">
        <v>2</v>
      </c>
      <c r="J28" s="5">
        <v>70</v>
      </c>
      <c r="K28" s="5">
        <v>46</v>
      </c>
      <c r="L28" s="5">
        <v>416</v>
      </c>
      <c r="M28" s="5">
        <v>43</v>
      </c>
      <c r="N28" s="5">
        <v>70</v>
      </c>
    </row>
    <row r="29" spans="1:14" ht="15.75" thickBot="1">
      <c r="A29" s="7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9"/>
    </row>
    <row r="30" spans="1:14" ht="30.75" thickBot="1">
      <c r="A30" s="6" t="s">
        <v>31</v>
      </c>
      <c r="B30" s="5">
        <v>3.55</v>
      </c>
      <c r="C30" s="5">
        <v>208.38</v>
      </c>
      <c r="D30" s="5">
        <v>13</v>
      </c>
      <c r="E30" s="5">
        <v>3</v>
      </c>
      <c r="F30" s="5">
        <v>2.1800000000000002</v>
      </c>
      <c r="G30" s="5">
        <v>160</v>
      </c>
      <c r="H30" s="5">
        <v>2.19</v>
      </c>
      <c r="I30" s="5">
        <v>280.07</v>
      </c>
      <c r="J30" s="5">
        <v>5.25</v>
      </c>
      <c r="K30" s="5">
        <v>3.48</v>
      </c>
      <c r="L30" s="5">
        <v>0.73</v>
      </c>
      <c r="M30" s="5">
        <v>0.73</v>
      </c>
      <c r="N30" s="5">
        <v>0.17</v>
      </c>
    </row>
    <row r="31" spans="1:14" ht="30.75" thickBot="1">
      <c r="A31" s="6" t="s">
        <v>32</v>
      </c>
      <c r="B31" s="5">
        <v>0.25</v>
      </c>
      <c r="C31" s="5">
        <v>0.25</v>
      </c>
      <c r="D31" s="5">
        <v>0.25</v>
      </c>
      <c r="E31" s="5">
        <v>0.25</v>
      </c>
      <c r="F31" s="5">
        <v>0.25</v>
      </c>
      <c r="G31" s="5">
        <v>0.25</v>
      </c>
      <c r="H31" s="5">
        <v>0.25</v>
      </c>
      <c r="I31" s="5">
        <v>0.25</v>
      </c>
      <c r="J31" s="5">
        <v>0.25</v>
      </c>
      <c r="K31" s="5">
        <v>0.25</v>
      </c>
      <c r="L31" s="5">
        <v>0.25</v>
      </c>
      <c r="M31" s="5">
        <v>0.25</v>
      </c>
      <c r="N31" s="5">
        <v>0.25</v>
      </c>
    </row>
    <row r="32" spans="1:14" ht="30.75" thickBot="1">
      <c r="A32" s="6" t="s">
        <v>33</v>
      </c>
      <c r="B32" s="5">
        <v>304.70999999999998</v>
      </c>
      <c r="C32" s="5">
        <v>160.35</v>
      </c>
      <c r="D32" s="5">
        <v>181.2</v>
      </c>
      <c r="E32" s="5">
        <v>207.56</v>
      </c>
      <c r="F32" s="5">
        <v>258.41000000000003</v>
      </c>
      <c r="G32" s="5">
        <v>105.39</v>
      </c>
      <c r="H32" s="5">
        <v>146.02000000000001</v>
      </c>
      <c r="I32" s="5">
        <v>132.33000000000001</v>
      </c>
      <c r="J32" s="5">
        <v>129.24</v>
      </c>
      <c r="K32" s="5">
        <v>181.23</v>
      </c>
      <c r="L32" s="5">
        <v>50.97</v>
      </c>
      <c r="M32" s="5">
        <v>34.44</v>
      </c>
      <c r="N32" s="5">
        <v>12.19</v>
      </c>
    </row>
    <row r="33" spans="1:14" ht="30.75" thickBot="1">
      <c r="A33" s="6" t="s">
        <v>34</v>
      </c>
      <c r="B33" s="5">
        <v>10</v>
      </c>
      <c r="C33" s="5">
        <v>14</v>
      </c>
      <c r="D33" s="5">
        <v>5</v>
      </c>
      <c r="E33" s="5">
        <v>10</v>
      </c>
      <c r="F33" s="5">
        <v>7</v>
      </c>
      <c r="G33" s="5">
        <v>7</v>
      </c>
      <c r="H33" s="5">
        <v>4</v>
      </c>
      <c r="I33" s="5">
        <v>7</v>
      </c>
      <c r="J33" s="5">
        <v>6</v>
      </c>
      <c r="K33" s="5">
        <v>4</v>
      </c>
      <c r="L33" s="5">
        <v>10</v>
      </c>
      <c r="M33" s="5">
        <v>10</v>
      </c>
      <c r="N33" s="5">
        <v>10</v>
      </c>
    </row>
  </sheetData>
  <mergeCells count="2">
    <mergeCell ref="A2:N2"/>
    <mergeCell ref="A29:N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Sheet5</vt:lpstr>
      <vt:lpstr>Sheet6</vt:lpstr>
      <vt:lpstr>Sheet4</vt:lpstr>
      <vt:lpstr>Sheet7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PKN</dc:creator>
  <cp:lastModifiedBy>PKN</cp:lastModifiedBy>
  <dcterms:created xsi:type="dcterms:W3CDTF">2023-03-19T10:35:43Z</dcterms:created>
  <dcterms:modified xsi:type="dcterms:W3CDTF">2023-03-24T04:50:41Z</dcterms:modified>
</cp:coreProperties>
</file>