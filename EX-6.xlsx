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R10" i="1"/>
  <c r="S10"/>
  <c r="T10"/>
  <c r="U10"/>
  <c r="V10"/>
  <c r="W10"/>
  <c r="X10"/>
  <c r="Y10"/>
  <c r="Z10"/>
  <c r="AA10"/>
  <c r="AB10"/>
  <c r="AC10"/>
  <c r="Q10"/>
  <c r="AC8"/>
  <c r="R8"/>
  <c r="S8"/>
  <c r="T8"/>
  <c r="U8"/>
  <c r="V8"/>
  <c r="W8"/>
  <c r="X8"/>
  <c r="Y8"/>
  <c r="Z8"/>
  <c r="AA8"/>
  <c r="AB8"/>
  <c r="Q8"/>
  <c r="Q9"/>
  <c r="R3"/>
  <c r="S3"/>
  <c r="T3"/>
  <c r="U3"/>
  <c r="V3"/>
  <c r="W3"/>
  <c r="X3"/>
  <c r="Y3"/>
  <c r="Z3"/>
  <c r="AA3"/>
  <c r="AB3"/>
  <c r="AC3"/>
  <c r="Q3"/>
  <c r="C30"/>
  <c r="D30"/>
  <c r="E30"/>
  <c r="F30"/>
  <c r="G30"/>
  <c r="H30"/>
  <c r="I30"/>
  <c r="J30"/>
  <c r="K30"/>
  <c r="L30"/>
  <c r="M30"/>
  <c r="N30"/>
  <c r="C31"/>
  <c r="D31"/>
  <c r="E31"/>
  <c r="F31"/>
  <c r="G31"/>
  <c r="H31"/>
  <c r="I31"/>
  <c r="J31"/>
  <c r="K31"/>
  <c r="L31"/>
  <c r="M31"/>
  <c r="N31"/>
  <c r="C32"/>
  <c r="D32"/>
  <c r="E32"/>
  <c r="F32"/>
  <c r="G32"/>
  <c r="H32"/>
  <c r="I32"/>
  <c r="J32"/>
  <c r="K32"/>
  <c r="L32"/>
  <c r="M32"/>
  <c r="N32"/>
  <c r="C33"/>
  <c r="D33"/>
  <c r="E33"/>
  <c r="F33"/>
  <c r="G33"/>
  <c r="H33"/>
  <c r="I33"/>
  <c r="J33"/>
  <c r="K33"/>
  <c r="L33"/>
  <c r="M33"/>
  <c r="N33"/>
  <c r="C34"/>
  <c r="D34"/>
  <c r="E34"/>
  <c r="F34"/>
  <c r="G34"/>
  <c r="H34"/>
  <c r="I34"/>
  <c r="J34"/>
  <c r="K34"/>
  <c r="L34"/>
  <c r="M34"/>
  <c r="N34"/>
  <c r="C35"/>
  <c r="D35"/>
  <c r="E35"/>
  <c r="F35"/>
  <c r="G35"/>
  <c r="H35"/>
  <c r="I35"/>
  <c r="J35"/>
  <c r="K35"/>
  <c r="L35"/>
  <c r="M35"/>
  <c r="N35"/>
  <c r="C36"/>
  <c r="D36"/>
  <c r="E36"/>
  <c r="F36"/>
  <c r="G36"/>
  <c r="H36"/>
  <c r="I36"/>
  <c r="J36"/>
  <c r="K36"/>
  <c r="L36"/>
  <c r="M36"/>
  <c r="N36"/>
  <c r="C37"/>
  <c r="D37"/>
  <c r="E37"/>
  <c r="F37"/>
  <c r="G37"/>
  <c r="H37"/>
  <c r="I37"/>
  <c r="J37"/>
  <c r="K37"/>
  <c r="L37"/>
  <c r="M37"/>
  <c r="N37"/>
  <c r="C38"/>
  <c r="D38"/>
  <c r="E38"/>
  <c r="F38"/>
  <c r="G38"/>
  <c r="H38"/>
  <c r="I38"/>
  <c r="J38"/>
  <c r="K38"/>
  <c r="L38"/>
  <c r="M38"/>
  <c r="N38"/>
  <c r="C39"/>
  <c r="D39"/>
  <c r="E39"/>
  <c r="F39"/>
  <c r="G39"/>
  <c r="H39"/>
  <c r="I39"/>
  <c r="J39"/>
  <c r="K39"/>
  <c r="L39"/>
  <c r="M39"/>
  <c r="N39"/>
  <c r="C40"/>
  <c r="D40"/>
  <c r="E40"/>
  <c r="F40"/>
  <c r="G40"/>
  <c r="H40"/>
  <c r="I40"/>
  <c r="J40"/>
  <c r="K40"/>
  <c r="L40"/>
  <c r="M40"/>
  <c r="N40"/>
  <c r="C41"/>
  <c r="D41"/>
  <c r="E41"/>
  <c r="F41"/>
  <c r="G41"/>
  <c r="H41"/>
  <c r="I41"/>
  <c r="J41"/>
  <c r="K41"/>
  <c r="L41"/>
  <c r="M41"/>
  <c r="N41"/>
  <c r="C42"/>
  <c r="D42"/>
  <c r="E42"/>
  <c r="F42"/>
  <c r="G42"/>
  <c r="H42"/>
  <c r="I42"/>
  <c r="J42"/>
  <c r="K42"/>
  <c r="L42"/>
  <c r="M42"/>
  <c r="N42"/>
  <c r="B30"/>
  <c r="B31"/>
  <c r="B32"/>
  <c r="B33"/>
  <c r="B34"/>
  <c r="B35"/>
  <c r="B36"/>
  <c r="B37"/>
  <c r="B38"/>
  <c r="B39"/>
  <c r="B40"/>
  <c r="B41"/>
  <c r="B42"/>
  <c r="W9" l="1"/>
  <c r="Y9"/>
  <c r="AA9"/>
  <c r="AC9"/>
  <c r="R9"/>
  <c r="S9"/>
  <c r="T9"/>
  <c r="U9"/>
  <c r="V9"/>
  <c r="X9"/>
  <c r="Z9"/>
  <c r="AB9"/>
</calcChain>
</file>

<file path=xl/sharedStrings.xml><?xml version="1.0" encoding="utf-8"?>
<sst xmlns="http://schemas.openxmlformats.org/spreadsheetml/2006/main" count="38" uniqueCount="26">
  <si>
    <t>Consumption Data</t>
  </si>
  <si>
    <t>Item-&gt;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</si>
  <si>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</si>
  <si>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</si>
  <si>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</si>
  <si>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</si>
  <si>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</si>
  <si>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</si>
  <si>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</si>
  <si>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</si>
  <si>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</si>
  <si>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</si>
  <si>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</si>
  <si>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</si>
  <si>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</si>
  <si>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Date(MM/YY)</t>
  </si>
  <si>
    <t>Units</t>
  </si>
  <si>
    <t>Unit Cost Price</t>
  </si>
  <si>
    <t>HoldingCost</t>
  </si>
  <si>
    <t>Fixordercost</t>
  </si>
  <si>
    <t>LeadTime(days)</t>
  </si>
  <si>
    <t>Demand</t>
  </si>
  <si>
    <t>Safty stock level</t>
  </si>
  <si>
    <t>EOQ</t>
  </si>
  <si>
    <t>Reorder point</t>
  </si>
  <si>
    <t>Forecasted 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</si>
</sst>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17" fontId="2" fillId="0" borderId="4" xfId="0" applyNumberFormat="1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7" fontId="2" fillId="2" borderId="6" xfId="0" applyNumberFormat="1" applyFont="1" applyFill="1" applyBorder="1" applyAlignment="1">
      <alignment vertical="top" wrapText="1"/>
    </xf>
    <xf numFmtId="0" fontId="0" fillId="2" borderId="6" xfId="0" applyFill="1" applyBorder="1"/>
    <xf numFmtId="0" fontId="0" fillId="3" borderId="7" xfId="0" applyFill="1" applyBorder="1" applyAlignment="1">
      <alignment horizontal="center"/>
    </xf>
    <xf numFmtId="0" fontId="1" fillId="3" borderId="6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Sheet1!$P$10</c:f>
              <c:strCache>
                <c:ptCount val="1"/>
                <c:pt idx="0">
                  <c:v>Reorder point</c:v>
                </c:pt>
              </c:strCache>
            </c:strRef>
          </c:tx>
          <c:marker>
            <c:symbol val="none"/>
          </c:marker>
          <c:val>
            <c:numRef>
              <c:f>Sheet1!$Q$10:$AC$10</c:f>
              <c:numCache>
                <c:formatCode>General</c:formatCode>
                <c:ptCount val="13"/>
                <c:pt idx="0">
                  <c:v>13105.801282051281</c:v>
                </c:pt>
                <c:pt idx="1">
                  <c:v>354.21153846153845</c:v>
                </c:pt>
                <c:pt idx="2">
                  <c:v>1769.2307692307695</c:v>
                </c:pt>
                <c:pt idx="3">
                  <c:v>10166.224358974359</c:v>
                </c:pt>
                <c:pt idx="4">
                  <c:v>15365.76923076923</c:v>
                </c:pt>
                <c:pt idx="5">
                  <c:v>274.77179487179484</c:v>
                </c:pt>
                <c:pt idx="6">
                  <c:v>7128.6987179487196</c:v>
                </c:pt>
                <c:pt idx="7">
                  <c:v>255</c:v>
                </c:pt>
                <c:pt idx="8">
                  <c:v>3096.1602564102559</c:v>
                </c:pt>
                <c:pt idx="9">
                  <c:v>5823.8397435897432</c:v>
                </c:pt>
                <c:pt idx="10">
                  <c:v>9962.3205128205118</c:v>
                </c:pt>
                <c:pt idx="11">
                  <c:v>6919.6858974358975</c:v>
                </c:pt>
                <c:pt idx="12">
                  <c:v>11122.49358974359</c:v>
                </c:pt>
              </c:numCache>
            </c:numRef>
          </c:val>
        </c:ser>
        <c:marker val="1"/>
        <c:axId val="147108224"/>
        <c:axId val="147110144"/>
      </c:lineChart>
      <c:catAx>
        <c:axId val="147108224"/>
        <c:scaling>
          <c:orientation val="minMax"/>
        </c:scaling>
        <c:axPos val="b"/>
        <c:tickLblPos val="nextTo"/>
        <c:crossAx val="147110144"/>
        <c:crosses val="autoZero"/>
        <c:auto val="1"/>
        <c:lblAlgn val="ctr"/>
        <c:lblOffset val="100"/>
      </c:catAx>
      <c:valAx>
        <c:axId val="147110144"/>
        <c:scaling>
          <c:orientation val="minMax"/>
        </c:scaling>
        <c:axPos val="l"/>
        <c:majorGridlines/>
        <c:numFmt formatCode="General" sourceLinked="1"/>
        <c:tickLblPos val="nextTo"/>
        <c:crossAx val="147108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560294</xdr:colOff>
      <xdr:row>10</xdr:row>
      <xdr:rowOff>201705</xdr:rowOff>
    </xdr:from>
    <xdr:to>
      <xdr:col>21</xdr:col>
      <xdr:colOff>526676</xdr:colOff>
      <xdr:row>24</xdr:row>
      <xdr:rowOff>123264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2"/>
  <sheetViews>
    <sheetView tabSelected="1" topLeftCell="A22" zoomScale="70" zoomScaleNormal="70" workbookViewId="0">
      <selection activeCell="Y14" sqref="Y14"/>
    </sheetView>
  </sheetViews>
  <sheetFormatPr defaultRowHeight="15"/>
  <cols>
    <col min="16" max="16" width="12" customWidth="1"/>
    <col min="17" max="17" width="11.7109375" bestFit="1" customWidth="1"/>
  </cols>
  <sheetData>
    <row r="1" spans="1:29" ht="15.75" thickBo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29" ht="30.75" thickBo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29" ht="30.75" thickBot="1">
      <c r="A3" s="1" t="s">
        <v>15</v>
      </c>
      <c r="B3" s="2" t="s">
        <v>16</v>
      </c>
      <c r="C3" s="2" t="s">
        <v>16</v>
      </c>
      <c r="D3" s="2" t="s">
        <v>16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P3" s="11" t="s">
        <v>21</v>
      </c>
      <c r="Q3" s="9">
        <f>SUM(B30:B42)</f>
        <v>7294.583333333333</v>
      </c>
      <c r="R3" s="9">
        <f t="shared" ref="R3:AC3" si="0">SUM(C30:C42)</f>
        <v>74.25</v>
      </c>
      <c r="S3" s="9">
        <f t="shared" si="0"/>
        <v>1133.3333333333335</v>
      </c>
      <c r="T3" s="9">
        <f t="shared" si="0"/>
        <v>5633.083333333333</v>
      </c>
      <c r="U3" s="9">
        <f t="shared" si="0"/>
        <v>9857.75</v>
      </c>
      <c r="V3" s="9">
        <f t="shared" si="0"/>
        <v>48.601666666666659</v>
      </c>
      <c r="W3" s="9">
        <f t="shared" si="0"/>
        <v>5298.4166666666679</v>
      </c>
      <c r="X3" s="9">
        <f t="shared" si="0"/>
        <v>35.75</v>
      </c>
      <c r="Y3" s="9">
        <f t="shared" si="0"/>
        <v>1981.5833333333333</v>
      </c>
      <c r="Z3" s="9">
        <f t="shared" si="0"/>
        <v>4300.583333333333</v>
      </c>
      <c r="AA3" s="9">
        <f t="shared" si="0"/>
        <v>5517.833333333333</v>
      </c>
      <c r="AB3" s="9">
        <f t="shared" si="0"/>
        <v>3798.0833333333335</v>
      </c>
      <c r="AC3" s="9">
        <f t="shared" si="0"/>
        <v>6173.583333333333</v>
      </c>
    </row>
    <row r="4" spans="1:29" ht="30.75" thickBot="1">
      <c r="A4" s="3">
        <v>39448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P4" s="12" t="s">
        <v>17</v>
      </c>
      <c r="Q4" s="13">
        <v>3.55</v>
      </c>
      <c r="R4" s="13">
        <v>208.38</v>
      </c>
      <c r="S4" s="13">
        <v>13</v>
      </c>
      <c r="T4" s="13">
        <v>3</v>
      </c>
      <c r="U4" s="13">
        <v>2.1800000000000002</v>
      </c>
      <c r="V4" s="13">
        <v>160</v>
      </c>
      <c r="W4" s="13">
        <v>2.19</v>
      </c>
      <c r="X4" s="13">
        <v>280.07</v>
      </c>
      <c r="Y4" s="13">
        <v>5.25</v>
      </c>
      <c r="Z4" s="13">
        <v>3.48</v>
      </c>
      <c r="AA4" s="13">
        <v>0.73</v>
      </c>
      <c r="AB4" s="13">
        <v>0.73</v>
      </c>
      <c r="AC4" s="13">
        <v>0.17</v>
      </c>
    </row>
    <row r="5" spans="1:29" ht="15.75" thickBot="1">
      <c r="A5" s="3">
        <v>39479</v>
      </c>
      <c r="B5" s="4">
        <v>390</v>
      </c>
      <c r="C5" s="4">
        <v>0</v>
      </c>
      <c r="D5" s="4">
        <v>69</v>
      </c>
      <c r="E5" s="4">
        <v>455</v>
      </c>
      <c r="F5" s="4">
        <v>786</v>
      </c>
      <c r="G5" s="4">
        <v>5.34</v>
      </c>
      <c r="H5" s="4">
        <v>279</v>
      </c>
      <c r="I5" s="4">
        <v>4</v>
      </c>
      <c r="J5" s="4">
        <v>47</v>
      </c>
      <c r="K5" s="4">
        <v>94</v>
      </c>
      <c r="L5" s="4">
        <v>162</v>
      </c>
      <c r="M5" s="4">
        <v>150</v>
      </c>
      <c r="N5" s="4">
        <v>129</v>
      </c>
      <c r="P5" s="12" t="s">
        <v>18</v>
      </c>
      <c r="Q5" s="13">
        <v>0.25</v>
      </c>
      <c r="R5" s="13">
        <v>0.25</v>
      </c>
      <c r="S5" s="13">
        <v>0.25</v>
      </c>
      <c r="T5" s="13">
        <v>0.25</v>
      </c>
      <c r="U5" s="13">
        <v>0.25</v>
      </c>
      <c r="V5" s="13">
        <v>0.25</v>
      </c>
      <c r="W5" s="13">
        <v>0.25</v>
      </c>
      <c r="X5" s="13">
        <v>0.25</v>
      </c>
      <c r="Y5" s="13">
        <v>0.25</v>
      </c>
      <c r="Z5" s="13">
        <v>0.25</v>
      </c>
      <c r="AA5" s="13">
        <v>0.25</v>
      </c>
      <c r="AB5" s="13">
        <v>0.25</v>
      </c>
      <c r="AC5" s="13">
        <v>0.25</v>
      </c>
    </row>
    <row r="6" spans="1:29" ht="15.75" thickBot="1">
      <c r="A6" s="3">
        <v>39508</v>
      </c>
      <c r="B6" s="4">
        <v>654</v>
      </c>
      <c r="C6" s="4">
        <v>0</v>
      </c>
      <c r="D6" s="4">
        <v>89</v>
      </c>
      <c r="E6" s="4">
        <v>749</v>
      </c>
      <c r="F6" s="4">
        <v>900</v>
      </c>
      <c r="G6" s="4">
        <v>3.84</v>
      </c>
      <c r="H6" s="4">
        <v>649</v>
      </c>
      <c r="I6" s="4">
        <v>6</v>
      </c>
      <c r="J6" s="4">
        <v>108</v>
      </c>
      <c r="K6" s="4">
        <v>174</v>
      </c>
      <c r="L6" s="4">
        <v>677</v>
      </c>
      <c r="M6" s="4">
        <v>202</v>
      </c>
      <c r="N6" s="4">
        <v>1312</v>
      </c>
      <c r="P6" s="12" t="s">
        <v>19</v>
      </c>
      <c r="Q6" s="13">
        <v>304.70999999999998</v>
      </c>
      <c r="R6" s="13">
        <v>160.35</v>
      </c>
      <c r="S6" s="13">
        <v>181.2</v>
      </c>
      <c r="T6" s="13">
        <v>207.56</v>
      </c>
      <c r="U6" s="13">
        <v>258.41000000000003</v>
      </c>
      <c r="V6" s="13">
        <v>105.39</v>
      </c>
      <c r="W6" s="13">
        <v>146.02000000000001</v>
      </c>
      <c r="X6" s="13">
        <v>132.33000000000001</v>
      </c>
      <c r="Y6" s="13">
        <v>129.24</v>
      </c>
      <c r="Z6" s="13">
        <v>181.23</v>
      </c>
      <c r="AA6" s="13">
        <v>50.97</v>
      </c>
      <c r="AB6" s="13">
        <v>34.44</v>
      </c>
      <c r="AC6" s="13">
        <v>12.19</v>
      </c>
    </row>
    <row r="7" spans="1:29" ht="30.75" thickBot="1">
      <c r="A7" s="3">
        <v>39539</v>
      </c>
      <c r="B7" s="4">
        <v>420</v>
      </c>
      <c r="C7" s="4">
        <v>0</v>
      </c>
      <c r="D7" s="4">
        <v>76</v>
      </c>
      <c r="E7" s="4">
        <v>494</v>
      </c>
      <c r="F7" s="4">
        <v>782</v>
      </c>
      <c r="G7" s="4">
        <v>0.54</v>
      </c>
      <c r="H7" s="4">
        <v>535</v>
      </c>
      <c r="I7" s="4">
        <v>2</v>
      </c>
      <c r="J7" s="4">
        <v>99</v>
      </c>
      <c r="K7" s="4">
        <v>872</v>
      </c>
      <c r="L7" s="4">
        <v>458</v>
      </c>
      <c r="M7" s="4">
        <v>403</v>
      </c>
      <c r="N7" s="4">
        <v>167</v>
      </c>
      <c r="P7" s="12" t="s">
        <v>20</v>
      </c>
      <c r="Q7" s="13">
        <v>10</v>
      </c>
      <c r="R7" s="13">
        <v>14</v>
      </c>
      <c r="S7" s="13">
        <v>5</v>
      </c>
      <c r="T7" s="13">
        <v>10</v>
      </c>
      <c r="U7" s="13">
        <v>7</v>
      </c>
      <c r="V7" s="13">
        <v>7</v>
      </c>
      <c r="W7" s="13">
        <v>4</v>
      </c>
      <c r="X7" s="13">
        <v>7</v>
      </c>
      <c r="Y7" s="13">
        <v>6</v>
      </c>
      <c r="Z7" s="13">
        <v>4</v>
      </c>
      <c r="AA7" s="13">
        <v>10</v>
      </c>
      <c r="AB7" s="13">
        <v>10</v>
      </c>
      <c r="AC7" s="13">
        <v>10</v>
      </c>
    </row>
    <row r="8" spans="1:29" ht="30.75" thickBot="1">
      <c r="A8" s="3">
        <v>39569</v>
      </c>
      <c r="B8" s="4">
        <v>421</v>
      </c>
      <c r="C8" s="4">
        <v>0</v>
      </c>
      <c r="D8" s="4">
        <v>100</v>
      </c>
      <c r="E8" s="4">
        <v>279</v>
      </c>
      <c r="F8" s="4">
        <v>1488</v>
      </c>
      <c r="G8" s="4">
        <v>1.38</v>
      </c>
      <c r="H8" s="4">
        <v>1907</v>
      </c>
      <c r="I8" s="4">
        <v>2</v>
      </c>
      <c r="J8" s="4">
        <v>102</v>
      </c>
      <c r="K8" s="4">
        <v>158</v>
      </c>
      <c r="L8" s="4">
        <v>655</v>
      </c>
      <c r="M8" s="4">
        <v>582</v>
      </c>
      <c r="N8" s="4">
        <v>707</v>
      </c>
      <c r="P8" s="12" t="s">
        <v>22</v>
      </c>
      <c r="Q8" s="13">
        <f>Q3+200</f>
        <v>7494.583333333333</v>
      </c>
      <c r="R8" s="13">
        <f t="shared" ref="R8:AB8" si="1">R3+200</f>
        <v>274.25</v>
      </c>
      <c r="S8" s="13">
        <f t="shared" si="1"/>
        <v>1333.3333333333335</v>
      </c>
      <c r="T8" s="13">
        <f t="shared" si="1"/>
        <v>5833.083333333333</v>
      </c>
      <c r="U8" s="13">
        <f t="shared" si="1"/>
        <v>10057.75</v>
      </c>
      <c r="V8" s="13">
        <f t="shared" si="1"/>
        <v>248.60166666666666</v>
      </c>
      <c r="W8" s="13">
        <f t="shared" si="1"/>
        <v>5498.4166666666679</v>
      </c>
      <c r="X8" s="13">
        <f t="shared" si="1"/>
        <v>235.75</v>
      </c>
      <c r="Y8" s="13">
        <f t="shared" si="1"/>
        <v>2181.583333333333</v>
      </c>
      <c r="Z8" s="13">
        <f t="shared" si="1"/>
        <v>4500.583333333333</v>
      </c>
      <c r="AA8" s="13">
        <f t="shared" si="1"/>
        <v>5717.833333333333</v>
      </c>
      <c r="AB8" s="13">
        <f t="shared" si="1"/>
        <v>3998.0833333333335</v>
      </c>
      <c r="AC8" s="13">
        <f>AC3+200</f>
        <v>6373.583333333333</v>
      </c>
    </row>
    <row r="9" spans="1:29" ht="15.75" thickBot="1">
      <c r="A9" s="3">
        <v>39600</v>
      </c>
      <c r="B9" s="4">
        <v>704</v>
      </c>
      <c r="C9" s="4">
        <v>0</v>
      </c>
      <c r="D9" s="4">
        <v>154</v>
      </c>
      <c r="E9" s="4">
        <v>487</v>
      </c>
      <c r="F9" s="4">
        <v>1310</v>
      </c>
      <c r="G9" s="4">
        <v>3.58</v>
      </c>
      <c r="H9" s="4">
        <v>553</v>
      </c>
      <c r="I9" s="4">
        <v>4</v>
      </c>
      <c r="J9" s="4">
        <v>188</v>
      </c>
      <c r="K9" s="4">
        <v>1449</v>
      </c>
      <c r="L9" s="4">
        <v>334</v>
      </c>
      <c r="M9" s="4">
        <v>145</v>
      </c>
      <c r="N9" s="4">
        <v>160</v>
      </c>
      <c r="P9" s="12" t="s">
        <v>23</v>
      </c>
      <c r="Q9" s="9">
        <f>POWER((2*Q3*Q6)/Q5,0.5)</f>
        <v>4216.8542659190862</v>
      </c>
      <c r="R9" s="9">
        <f>POWER((2*R3*R6)/R5,0.5)</f>
        <v>308.62258504522964</v>
      </c>
      <c r="S9" s="9">
        <f>POWER((2*S3*S6)/S5,0.5)</f>
        <v>1281.7488053436994</v>
      </c>
      <c r="T9" s="9">
        <f t="shared" ref="T9:AC9" si="2">POWER((2*T3*T6)/T5,0.5)</f>
        <v>3058.3692081456306</v>
      </c>
      <c r="U9" s="9">
        <f t="shared" si="2"/>
        <v>4514.2806093551608</v>
      </c>
      <c r="V9" s="9">
        <f t="shared" si="2"/>
        <v>202.42785677865581</v>
      </c>
      <c r="W9" s="9">
        <f t="shared" si="2"/>
        <v>2487.8501589391058</v>
      </c>
      <c r="X9" s="9">
        <f t="shared" si="2"/>
        <v>194.54146087659566</v>
      </c>
      <c r="Y9" s="9">
        <f t="shared" si="2"/>
        <v>1431.3625117348854</v>
      </c>
      <c r="Z9" s="9">
        <f t="shared" si="2"/>
        <v>2497.029783562863</v>
      </c>
      <c r="AA9" s="9">
        <f t="shared" si="2"/>
        <v>1499.983906580334</v>
      </c>
      <c r="AB9" s="9">
        <f t="shared" si="2"/>
        <v>1022.9603706889138</v>
      </c>
      <c r="AC9" s="9">
        <f t="shared" si="2"/>
        <v>775.91742258224008</v>
      </c>
    </row>
    <row r="10" spans="1:29" ht="30.75" thickBot="1">
      <c r="A10" s="3">
        <v>39630</v>
      </c>
      <c r="B10" s="4">
        <v>686</v>
      </c>
      <c r="C10" s="4">
        <v>2</v>
      </c>
      <c r="D10" s="4">
        <v>96</v>
      </c>
      <c r="E10" s="4">
        <v>1102</v>
      </c>
      <c r="F10" s="4">
        <v>934</v>
      </c>
      <c r="G10" s="4">
        <v>0.28000000000000003</v>
      </c>
      <c r="H10" s="4">
        <v>418</v>
      </c>
      <c r="I10" s="4">
        <v>5</v>
      </c>
      <c r="J10" s="4">
        <v>394</v>
      </c>
      <c r="K10" s="4">
        <v>215</v>
      </c>
      <c r="L10" s="4">
        <v>282</v>
      </c>
      <c r="M10" s="4">
        <v>320</v>
      </c>
      <c r="N10" s="4">
        <v>1482</v>
      </c>
      <c r="P10" s="12" t="s">
        <v>24</v>
      </c>
      <c r="Q10" s="9">
        <f>Q8+Q7*AVERAGE(B30:B42)</f>
        <v>13105.801282051281</v>
      </c>
      <c r="R10" s="9">
        <f t="shared" ref="R10:AC10" si="3">R8+R7*AVERAGE(C30:C42)</f>
        <v>354.21153846153845</v>
      </c>
      <c r="S10" s="9">
        <f t="shared" si="3"/>
        <v>1769.2307692307695</v>
      </c>
      <c r="T10" s="9">
        <f t="shared" si="3"/>
        <v>10166.224358974359</v>
      </c>
      <c r="U10" s="9">
        <f t="shared" si="3"/>
        <v>15365.76923076923</v>
      </c>
      <c r="V10" s="9">
        <f t="shared" si="3"/>
        <v>274.77179487179484</v>
      </c>
      <c r="W10" s="9">
        <f t="shared" si="3"/>
        <v>7128.6987179487196</v>
      </c>
      <c r="X10" s="9">
        <f t="shared" si="3"/>
        <v>255</v>
      </c>
      <c r="Y10" s="9">
        <f t="shared" si="3"/>
        <v>3096.1602564102559</v>
      </c>
      <c r="Z10" s="9">
        <f t="shared" si="3"/>
        <v>5823.8397435897432</v>
      </c>
      <c r="AA10" s="9">
        <f t="shared" si="3"/>
        <v>9962.3205128205118</v>
      </c>
      <c r="AB10" s="9">
        <f t="shared" si="3"/>
        <v>6919.6858974358975</v>
      </c>
      <c r="AC10" s="9">
        <f t="shared" si="3"/>
        <v>11122.49358974359</v>
      </c>
    </row>
    <row r="11" spans="1:29" ht="15.75" thickBot="1">
      <c r="A11" s="3">
        <v>39661</v>
      </c>
      <c r="B11" s="4">
        <v>441</v>
      </c>
      <c r="C11" s="4">
        <v>4</v>
      </c>
      <c r="D11" s="4">
        <v>112</v>
      </c>
      <c r="E11" s="4">
        <v>432</v>
      </c>
      <c r="F11" s="4">
        <v>1078</v>
      </c>
      <c r="G11" s="4">
        <v>0.22</v>
      </c>
      <c r="H11" s="4">
        <v>358</v>
      </c>
      <c r="I11" s="4">
        <v>2</v>
      </c>
      <c r="J11" s="4">
        <v>201</v>
      </c>
      <c r="K11" s="4">
        <v>94</v>
      </c>
      <c r="L11" s="4">
        <v>392</v>
      </c>
      <c r="M11" s="4">
        <v>224</v>
      </c>
      <c r="N11" s="4">
        <v>788</v>
      </c>
    </row>
    <row r="12" spans="1:29" ht="15.75" thickBot="1">
      <c r="A12" s="3">
        <v>39692</v>
      </c>
      <c r="B12" s="4">
        <v>624</v>
      </c>
      <c r="C12" s="4">
        <v>10</v>
      </c>
      <c r="D12" s="4">
        <v>103</v>
      </c>
      <c r="E12" s="4">
        <v>458</v>
      </c>
      <c r="F12" s="4">
        <v>1273</v>
      </c>
      <c r="G12" s="4">
        <v>4.9400000000000004</v>
      </c>
      <c r="H12" s="4">
        <v>337</v>
      </c>
      <c r="I12" s="4">
        <v>2</v>
      </c>
      <c r="J12" s="4">
        <v>179</v>
      </c>
      <c r="K12" s="4">
        <v>116</v>
      </c>
      <c r="L12" s="4">
        <v>1061</v>
      </c>
      <c r="M12" s="4">
        <v>406</v>
      </c>
      <c r="N12" s="4">
        <v>471</v>
      </c>
    </row>
    <row r="13" spans="1:29" ht="15.75" thickBot="1">
      <c r="A13" s="3">
        <v>39722</v>
      </c>
      <c r="B13" s="4">
        <v>453</v>
      </c>
      <c r="C13" s="4">
        <v>3</v>
      </c>
      <c r="D13" s="4">
        <v>65</v>
      </c>
      <c r="E13" s="4">
        <v>437</v>
      </c>
      <c r="F13" s="4">
        <v>835</v>
      </c>
      <c r="G13" s="4">
        <v>3</v>
      </c>
      <c r="H13" s="4">
        <v>318</v>
      </c>
      <c r="I13" s="4">
        <v>3</v>
      </c>
      <c r="J13" s="4">
        <v>106</v>
      </c>
      <c r="K13" s="4">
        <v>70</v>
      </c>
      <c r="L13" s="4">
        <v>178</v>
      </c>
      <c r="M13" s="4">
        <v>158</v>
      </c>
      <c r="N13" s="4">
        <v>76</v>
      </c>
    </row>
    <row r="14" spans="1:29" ht="15.75" thickBot="1">
      <c r="A14" s="3">
        <v>39753</v>
      </c>
      <c r="B14" s="4">
        <v>573</v>
      </c>
      <c r="C14" s="4">
        <v>6</v>
      </c>
      <c r="D14" s="4">
        <v>69</v>
      </c>
      <c r="E14" s="4">
        <v>352</v>
      </c>
      <c r="F14" s="4">
        <v>817</v>
      </c>
      <c r="G14" s="4">
        <v>3.9</v>
      </c>
      <c r="H14" s="4">
        <v>207</v>
      </c>
      <c r="I14" s="4">
        <v>1</v>
      </c>
      <c r="J14" s="4">
        <v>70</v>
      </c>
      <c r="K14" s="4">
        <v>41</v>
      </c>
      <c r="L14" s="4">
        <v>327</v>
      </c>
      <c r="M14" s="4">
        <v>199</v>
      </c>
      <c r="N14" s="4">
        <v>38</v>
      </c>
    </row>
    <row r="15" spans="1:29" ht="15.75" thickBot="1">
      <c r="A15" s="3">
        <v>39783</v>
      </c>
      <c r="B15" s="4">
        <v>508</v>
      </c>
      <c r="C15" s="4">
        <v>12</v>
      </c>
      <c r="D15" s="4">
        <v>56</v>
      </c>
      <c r="E15" s="4">
        <v>379</v>
      </c>
      <c r="F15" s="4">
        <v>373</v>
      </c>
      <c r="G15" s="4">
        <v>2.82</v>
      </c>
      <c r="H15" s="4">
        <v>124</v>
      </c>
      <c r="I15" s="4">
        <v>3</v>
      </c>
      <c r="J15" s="4">
        <v>74</v>
      </c>
      <c r="K15" s="4">
        <v>55</v>
      </c>
      <c r="L15" s="4">
        <v>316</v>
      </c>
      <c r="M15" s="4">
        <v>132</v>
      </c>
      <c r="N15" s="4">
        <v>226</v>
      </c>
    </row>
    <row r="16" spans="1:29" ht="15.75" thickBot="1">
      <c r="A16" s="3">
        <v>39814</v>
      </c>
      <c r="B16" s="4">
        <v>602</v>
      </c>
      <c r="C16" s="4">
        <v>10</v>
      </c>
      <c r="D16" s="4">
        <v>61</v>
      </c>
      <c r="E16" s="4">
        <v>463</v>
      </c>
      <c r="F16" s="4">
        <v>348</v>
      </c>
      <c r="G16" s="4">
        <v>4.82</v>
      </c>
      <c r="H16" s="4">
        <v>243</v>
      </c>
      <c r="I16" s="4">
        <v>0</v>
      </c>
      <c r="J16" s="4">
        <v>54</v>
      </c>
      <c r="K16" s="4">
        <v>67</v>
      </c>
      <c r="L16" s="4">
        <v>265</v>
      </c>
      <c r="M16" s="4">
        <v>44</v>
      </c>
      <c r="N16" s="4">
        <v>1153</v>
      </c>
    </row>
    <row r="17" spans="1:14" ht="15.75" thickBot="1">
      <c r="A17" s="3">
        <v>39845</v>
      </c>
      <c r="B17" s="4">
        <v>485</v>
      </c>
      <c r="C17" s="4">
        <v>2</v>
      </c>
      <c r="D17" s="4">
        <v>55</v>
      </c>
      <c r="E17" s="4">
        <v>294</v>
      </c>
      <c r="F17" s="4">
        <v>575</v>
      </c>
      <c r="G17" s="4">
        <v>12.08</v>
      </c>
      <c r="H17" s="4">
        <v>235</v>
      </c>
      <c r="I17" s="4">
        <v>3</v>
      </c>
      <c r="J17" s="4">
        <v>30</v>
      </c>
      <c r="K17" s="4">
        <v>34</v>
      </c>
      <c r="L17" s="4">
        <v>203</v>
      </c>
      <c r="M17" s="4">
        <v>143</v>
      </c>
      <c r="N17" s="4">
        <v>63</v>
      </c>
    </row>
    <row r="18" spans="1:14" ht="15.75" thickBot="1">
      <c r="A18" s="3">
        <v>39873</v>
      </c>
      <c r="B18" s="4">
        <v>801</v>
      </c>
      <c r="C18" s="4">
        <v>5</v>
      </c>
      <c r="D18" s="4">
        <v>93</v>
      </c>
      <c r="E18" s="4">
        <v>499</v>
      </c>
      <c r="F18" s="4">
        <v>812</v>
      </c>
      <c r="G18" s="4">
        <v>5.62</v>
      </c>
      <c r="H18" s="4">
        <v>746</v>
      </c>
      <c r="I18" s="4">
        <v>1</v>
      </c>
      <c r="J18" s="4">
        <v>128</v>
      </c>
      <c r="K18" s="4">
        <v>144</v>
      </c>
      <c r="L18" s="4">
        <v>496</v>
      </c>
      <c r="M18" s="4">
        <v>438</v>
      </c>
      <c r="N18" s="4">
        <v>662</v>
      </c>
    </row>
    <row r="19" spans="1:14" ht="15.75" thickBot="1">
      <c r="A19" s="3">
        <v>39904</v>
      </c>
      <c r="B19" s="4">
        <v>527</v>
      </c>
      <c r="C19" s="4">
        <v>14</v>
      </c>
      <c r="D19" s="4">
        <v>100</v>
      </c>
      <c r="E19" s="4">
        <v>328</v>
      </c>
      <c r="F19" s="4">
        <v>730</v>
      </c>
      <c r="G19" s="4">
        <v>0</v>
      </c>
      <c r="H19" s="4">
        <v>588</v>
      </c>
      <c r="I19" s="4">
        <v>3</v>
      </c>
      <c r="J19" s="4">
        <v>125</v>
      </c>
      <c r="K19" s="4">
        <v>2031</v>
      </c>
      <c r="L19" s="4">
        <v>140</v>
      </c>
      <c r="M19" s="4">
        <v>28</v>
      </c>
      <c r="N19" s="4">
        <v>200</v>
      </c>
    </row>
    <row r="20" spans="1:14" ht="15.75" thickBot="1">
      <c r="A20" s="3">
        <v>39934</v>
      </c>
      <c r="B20" s="4">
        <v>607</v>
      </c>
      <c r="C20" s="4">
        <v>2</v>
      </c>
      <c r="D20" s="4">
        <v>88</v>
      </c>
      <c r="E20" s="4">
        <v>344</v>
      </c>
      <c r="F20" s="4">
        <v>403</v>
      </c>
      <c r="G20" s="4">
        <v>2</v>
      </c>
      <c r="H20" s="4">
        <v>440</v>
      </c>
      <c r="I20" s="4">
        <v>6</v>
      </c>
      <c r="J20" s="4">
        <v>176</v>
      </c>
      <c r="K20" s="4">
        <v>637</v>
      </c>
      <c r="L20" s="4">
        <v>292</v>
      </c>
      <c r="M20" s="4">
        <v>411</v>
      </c>
      <c r="N20" s="4">
        <v>502</v>
      </c>
    </row>
    <row r="21" spans="1:14" ht="15.75" thickBot="1">
      <c r="A21" s="3">
        <v>39965</v>
      </c>
      <c r="B21" s="4">
        <v>679</v>
      </c>
      <c r="C21" s="4">
        <v>8</v>
      </c>
      <c r="D21" s="4">
        <v>152</v>
      </c>
      <c r="E21" s="4">
        <v>322</v>
      </c>
      <c r="F21" s="4">
        <v>916</v>
      </c>
      <c r="G21" s="4">
        <v>0.14000000000000001</v>
      </c>
      <c r="H21" s="4">
        <v>300</v>
      </c>
      <c r="I21" s="4">
        <v>2</v>
      </c>
      <c r="J21" s="4">
        <v>314</v>
      </c>
      <c r="K21" s="4">
        <v>214</v>
      </c>
      <c r="L21" s="4">
        <v>361</v>
      </c>
      <c r="M21" s="4">
        <v>415</v>
      </c>
      <c r="N21" s="4">
        <v>658</v>
      </c>
    </row>
    <row r="22" spans="1:14" ht="15.75" thickBot="1">
      <c r="A22" s="3">
        <v>39995</v>
      </c>
      <c r="B22" s="4">
        <v>511</v>
      </c>
      <c r="C22" s="4">
        <v>8</v>
      </c>
      <c r="D22" s="4">
        <v>88</v>
      </c>
      <c r="E22" s="4">
        <v>305</v>
      </c>
      <c r="F22" s="4">
        <v>686</v>
      </c>
      <c r="G22" s="4">
        <v>2.9</v>
      </c>
      <c r="H22" s="4">
        <v>260</v>
      </c>
      <c r="I22" s="4">
        <v>2</v>
      </c>
      <c r="J22" s="4">
        <v>361</v>
      </c>
      <c r="K22" s="4">
        <v>318</v>
      </c>
      <c r="L22" s="4">
        <v>1342</v>
      </c>
      <c r="M22" s="4">
        <v>1323</v>
      </c>
      <c r="N22" s="4">
        <v>595</v>
      </c>
    </row>
    <row r="23" spans="1:14" ht="15.75" thickBot="1">
      <c r="A23" s="3">
        <v>40026</v>
      </c>
      <c r="B23" s="4">
        <v>501</v>
      </c>
      <c r="C23" s="4">
        <v>6</v>
      </c>
      <c r="D23" s="4">
        <v>105</v>
      </c>
      <c r="E23" s="4">
        <v>471</v>
      </c>
      <c r="F23" s="4">
        <v>534</v>
      </c>
      <c r="G23" s="4">
        <v>2.16</v>
      </c>
      <c r="H23" s="4">
        <v>290</v>
      </c>
      <c r="I23" s="4">
        <v>6</v>
      </c>
      <c r="J23" s="4">
        <v>382</v>
      </c>
      <c r="K23" s="4">
        <v>352</v>
      </c>
      <c r="L23" s="4">
        <v>824</v>
      </c>
      <c r="M23" s="4">
        <v>682</v>
      </c>
      <c r="N23" s="4">
        <v>431</v>
      </c>
    </row>
    <row r="24" spans="1:14" ht="15.75" thickBot="1">
      <c r="A24" s="3">
        <v>40057</v>
      </c>
      <c r="B24" s="4">
        <v>576</v>
      </c>
      <c r="C24" s="4">
        <v>5</v>
      </c>
      <c r="D24" s="4">
        <v>116</v>
      </c>
      <c r="E24" s="4">
        <v>471</v>
      </c>
      <c r="F24" s="4">
        <v>716</v>
      </c>
      <c r="G24" s="4">
        <v>5.4</v>
      </c>
      <c r="H24" s="4">
        <v>545</v>
      </c>
      <c r="I24" s="4">
        <v>6</v>
      </c>
      <c r="J24" s="4">
        <v>268</v>
      </c>
      <c r="K24" s="4">
        <v>168</v>
      </c>
      <c r="L24" s="4">
        <v>711</v>
      </c>
      <c r="M24" s="4">
        <v>384</v>
      </c>
      <c r="N24" s="4">
        <v>439</v>
      </c>
    </row>
    <row r="25" spans="1:14" ht="15.75" thickBot="1">
      <c r="A25" s="3">
        <v>40087</v>
      </c>
      <c r="B25" s="4">
        <v>523</v>
      </c>
      <c r="C25" s="4">
        <v>2</v>
      </c>
      <c r="D25" s="4">
        <v>72</v>
      </c>
      <c r="E25" s="4">
        <v>358</v>
      </c>
      <c r="F25" s="4">
        <v>442</v>
      </c>
      <c r="G25" s="4">
        <v>11.86</v>
      </c>
      <c r="H25" s="4">
        <v>260</v>
      </c>
      <c r="I25" s="4">
        <v>5</v>
      </c>
      <c r="J25" s="4">
        <v>83</v>
      </c>
      <c r="K25" s="4">
        <v>204</v>
      </c>
      <c r="L25" s="4">
        <v>90</v>
      </c>
      <c r="M25" s="4">
        <v>73</v>
      </c>
      <c r="N25" s="4">
        <v>215</v>
      </c>
    </row>
    <row r="26" spans="1:14" ht="15.75" thickBot="1">
      <c r="A26" s="3">
        <v>40118</v>
      </c>
      <c r="B26" s="4">
        <v>514</v>
      </c>
      <c r="C26" s="4">
        <v>6</v>
      </c>
      <c r="D26" s="4">
        <v>77</v>
      </c>
      <c r="E26" s="4">
        <v>413</v>
      </c>
      <c r="F26" s="4">
        <v>535</v>
      </c>
      <c r="G26" s="4">
        <v>5.52</v>
      </c>
      <c r="H26" s="4">
        <v>186</v>
      </c>
      <c r="I26" s="4">
        <v>0</v>
      </c>
      <c r="J26" s="4">
        <v>88</v>
      </c>
      <c r="K26" s="4">
        <v>162</v>
      </c>
      <c r="L26" s="4">
        <v>361</v>
      </c>
      <c r="M26" s="4">
        <v>84</v>
      </c>
      <c r="N26" s="4">
        <v>76</v>
      </c>
    </row>
    <row r="27" spans="1:14" ht="15.75" thickBot="1">
      <c r="A27" s="3">
        <v>40148</v>
      </c>
      <c r="B27" s="4">
        <v>516</v>
      </c>
      <c r="C27" s="4">
        <v>9</v>
      </c>
      <c r="D27" s="4">
        <v>69</v>
      </c>
      <c r="E27" s="4">
        <v>358</v>
      </c>
      <c r="F27" s="4">
        <v>288</v>
      </c>
      <c r="G27" s="4">
        <v>15.24</v>
      </c>
      <c r="H27" s="4">
        <v>100</v>
      </c>
      <c r="I27" s="4">
        <v>2</v>
      </c>
      <c r="J27" s="4">
        <v>70</v>
      </c>
      <c r="K27" s="4">
        <v>46</v>
      </c>
      <c r="L27" s="4">
        <v>416</v>
      </c>
      <c r="M27" s="4">
        <v>43</v>
      </c>
      <c r="N27" s="4">
        <v>70</v>
      </c>
    </row>
    <row r="29" spans="1:14">
      <c r="A29" s="10" t="s">
        <v>25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>
      <c r="A30" s="8">
        <v>40179</v>
      </c>
      <c r="B30" s="9">
        <f t="shared" ref="B30:N42" si="4">AVERAGE(B4:B15)</f>
        <v>489.5</v>
      </c>
      <c r="C30" s="9">
        <f t="shared" si="4"/>
        <v>3.0833333333333335</v>
      </c>
      <c r="D30" s="9">
        <f t="shared" si="4"/>
        <v>82.416666666666671</v>
      </c>
      <c r="E30" s="9">
        <f t="shared" si="4"/>
        <v>468.66666666666669</v>
      </c>
      <c r="F30" s="9">
        <f t="shared" si="4"/>
        <v>881.33333333333337</v>
      </c>
      <c r="G30" s="9">
        <f t="shared" si="4"/>
        <v>2.4866666666666664</v>
      </c>
      <c r="H30" s="9">
        <f t="shared" si="4"/>
        <v>473.75</v>
      </c>
      <c r="I30" s="9">
        <f t="shared" si="4"/>
        <v>2.8333333333333335</v>
      </c>
      <c r="J30" s="9">
        <f t="shared" si="4"/>
        <v>130.66666666666666</v>
      </c>
      <c r="K30" s="9">
        <f t="shared" si="4"/>
        <v>278.16666666666669</v>
      </c>
      <c r="L30" s="9">
        <f t="shared" si="4"/>
        <v>403.5</v>
      </c>
      <c r="M30" s="9">
        <f t="shared" si="4"/>
        <v>243.41666666666666</v>
      </c>
      <c r="N30" s="9">
        <f t="shared" si="4"/>
        <v>463</v>
      </c>
    </row>
    <row r="31" spans="1:14">
      <c r="A31" s="8">
        <v>40210</v>
      </c>
      <c r="B31" s="9">
        <f t="shared" si="4"/>
        <v>539.66666666666663</v>
      </c>
      <c r="C31" s="9">
        <f t="shared" si="4"/>
        <v>3.9166666666666665</v>
      </c>
      <c r="D31" s="9">
        <f t="shared" si="4"/>
        <v>87.5</v>
      </c>
      <c r="E31" s="9">
        <f t="shared" si="4"/>
        <v>507.25</v>
      </c>
      <c r="F31" s="9">
        <f t="shared" si="4"/>
        <v>910.33333333333337</v>
      </c>
      <c r="G31" s="9">
        <f t="shared" si="4"/>
        <v>2.8883333333333332</v>
      </c>
      <c r="H31" s="9">
        <f t="shared" si="4"/>
        <v>494</v>
      </c>
      <c r="I31" s="9">
        <f t="shared" si="4"/>
        <v>2.8333333333333335</v>
      </c>
      <c r="J31" s="9">
        <f t="shared" si="4"/>
        <v>135.16666666666666</v>
      </c>
      <c r="K31" s="9">
        <f t="shared" si="4"/>
        <v>283.75</v>
      </c>
      <c r="L31" s="9">
        <f t="shared" si="4"/>
        <v>425.58333333333331</v>
      </c>
      <c r="M31" s="9">
        <f t="shared" si="4"/>
        <v>247.08333333333334</v>
      </c>
      <c r="N31" s="9">
        <f t="shared" si="4"/>
        <v>559.08333333333337</v>
      </c>
    </row>
    <row r="32" spans="1:14">
      <c r="A32" s="8">
        <v>40238</v>
      </c>
      <c r="B32" s="9">
        <f t="shared" si="4"/>
        <v>547.58333333333337</v>
      </c>
      <c r="C32" s="9">
        <f t="shared" si="4"/>
        <v>4.083333333333333</v>
      </c>
      <c r="D32" s="9">
        <f t="shared" si="4"/>
        <v>86.333333333333329</v>
      </c>
      <c r="E32" s="9">
        <f t="shared" si="4"/>
        <v>493.83333333333331</v>
      </c>
      <c r="F32" s="9">
        <f t="shared" si="4"/>
        <v>892.75</v>
      </c>
      <c r="G32" s="9">
        <f t="shared" si="4"/>
        <v>3.4499999999999997</v>
      </c>
      <c r="H32" s="9">
        <f t="shared" si="4"/>
        <v>490.33333333333331</v>
      </c>
      <c r="I32" s="9">
        <f t="shared" si="4"/>
        <v>2.75</v>
      </c>
      <c r="J32" s="9">
        <f t="shared" si="4"/>
        <v>133.75</v>
      </c>
      <c r="K32" s="9">
        <f t="shared" si="4"/>
        <v>278.75</v>
      </c>
      <c r="L32" s="9">
        <f t="shared" si="4"/>
        <v>429</v>
      </c>
      <c r="M32" s="9">
        <f t="shared" si="4"/>
        <v>246.5</v>
      </c>
      <c r="N32" s="9">
        <f t="shared" si="4"/>
        <v>553.58333333333337</v>
      </c>
    </row>
    <row r="33" spans="1:14">
      <c r="A33" s="8">
        <v>40269</v>
      </c>
      <c r="B33" s="9">
        <f t="shared" si="4"/>
        <v>559.83333333333337</v>
      </c>
      <c r="C33" s="9">
        <f t="shared" si="4"/>
        <v>4.5</v>
      </c>
      <c r="D33" s="9">
        <f t="shared" si="4"/>
        <v>86.666666666666671</v>
      </c>
      <c r="E33" s="9">
        <f t="shared" si="4"/>
        <v>473</v>
      </c>
      <c r="F33" s="9">
        <f t="shared" si="4"/>
        <v>885.41666666666663</v>
      </c>
      <c r="G33" s="9">
        <f t="shared" si="4"/>
        <v>3.5983333333333332</v>
      </c>
      <c r="H33" s="9">
        <f t="shared" si="4"/>
        <v>498.41666666666669</v>
      </c>
      <c r="I33" s="9">
        <f t="shared" si="4"/>
        <v>2.3333333333333335</v>
      </c>
      <c r="J33" s="9">
        <f t="shared" si="4"/>
        <v>135.41666666666666</v>
      </c>
      <c r="K33" s="9">
        <f t="shared" si="4"/>
        <v>276.25</v>
      </c>
      <c r="L33" s="9">
        <f t="shared" si="4"/>
        <v>413.91666666666669</v>
      </c>
      <c r="M33" s="9">
        <f t="shared" si="4"/>
        <v>266.16666666666669</v>
      </c>
      <c r="N33" s="9">
        <f t="shared" si="4"/>
        <v>499.41666666666669</v>
      </c>
    </row>
    <row r="34" spans="1:14">
      <c r="A34" s="8">
        <v>40299</v>
      </c>
      <c r="B34" s="9">
        <f t="shared" si="4"/>
        <v>568.75</v>
      </c>
      <c r="C34" s="9">
        <f t="shared" si="4"/>
        <v>5.666666666666667</v>
      </c>
      <c r="D34" s="9">
        <f t="shared" si="4"/>
        <v>88.666666666666671</v>
      </c>
      <c r="E34" s="9">
        <f t="shared" si="4"/>
        <v>459.16666666666669</v>
      </c>
      <c r="F34" s="9">
        <f t="shared" si="4"/>
        <v>881.08333333333337</v>
      </c>
      <c r="G34" s="9">
        <f t="shared" si="4"/>
        <v>3.5533333333333332</v>
      </c>
      <c r="H34" s="9">
        <f t="shared" si="4"/>
        <v>502.83333333333331</v>
      </c>
      <c r="I34" s="9">
        <f t="shared" si="4"/>
        <v>2.4166666666666665</v>
      </c>
      <c r="J34" s="9">
        <f t="shared" si="4"/>
        <v>137.58333333333334</v>
      </c>
      <c r="K34" s="9">
        <f t="shared" si="4"/>
        <v>372.83333333333331</v>
      </c>
      <c r="L34" s="9">
        <f t="shared" si="4"/>
        <v>387.41666666666669</v>
      </c>
      <c r="M34" s="9">
        <f t="shared" si="4"/>
        <v>234.91666666666666</v>
      </c>
      <c r="N34" s="9">
        <f t="shared" si="4"/>
        <v>502.16666666666669</v>
      </c>
    </row>
    <row r="35" spans="1:14">
      <c r="A35" s="8">
        <v>40330</v>
      </c>
      <c r="B35" s="9">
        <f t="shared" si="4"/>
        <v>584.25</v>
      </c>
      <c r="C35" s="9">
        <f t="shared" si="4"/>
        <v>5.833333333333333</v>
      </c>
      <c r="D35" s="9">
        <f t="shared" si="4"/>
        <v>87.666666666666671</v>
      </c>
      <c r="E35" s="9">
        <f t="shared" si="4"/>
        <v>464.58333333333331</v>
      </c>
      <c r="F35" s="9">
        <f t="shared" si="4"/>
        <v>790.66666666666663</v>
      </c>
      <c r="G35" s="9">
        <f t="shared" si="4"/>
        <v>3.605</v>
      </c>
      <c r="H35" s="9">
        <f t="shared" si="4"/>
        <v>380.58333333333331</v>
      </c>
      <c r="I35" s="9">
        <f t="shared" si="4"/>
        <v>2.75</v>
      </c>
      <c r="J35" s="9">
        <f t="shared" si="4"/>
        <v>143.75</v>
      </c>
      <c r="K35" s="9">
        <f t="shared" si="4"/>
        <v>412.75</v>
      </c>
      <c r="L35" s="9">
        <f t="shared" si="4"/>
        <v>357.16666666666669</v>
      </c>
      <c r="M35" s="9">
        <f t="shared" si="4"/>
        <v>220.66666666666666</v>
      </c>
      <c r="N35" s="9">
        <f t="shared" si="4"/>
        <v>485.08333333333331</v>
      </c>
    </row>
    <row r="36" spans="1:14">
      <c r="A36" s="8">
        <v>40360</v>
      </c>
      <c r="B36" s="9">
        <f t="shared" si="4"/>
        <v>582.16666666666663</v>
      </c>
      <c r="C36" s="9">
        <f t="shared" si="4"/>
        <v>6.5</v>
      </c>
      <c r="D36" s="9">
        <f t="shared" si="4"/>
        <v>87.5</v>
      </c>
      <c r="E36" s="9">
        <f t="shared" si="4"/>
        <v>450.83333333333331</v>
      </c>
      <c r="F36" s="9">
        <f t="shared" si="4"/>
        <v>757.83333333333337</v>
      </c>
      <c r="G36" s="9">
        <f t="shared" si="4"/>
        <v>3.3183333333333334</v>
      </c>
      <c r="H36" s="9">
        <f t="shared" si="4"/>
        <v>359.5</v>
      </c>
      <c r="I36" s="9">
        <f t="shared" si="4"/>
        <v>2.5833333333333335</v>
      </c>
      <c r="J36" s="9">
        <f t="shared" si="4"/>
        <v>154.25</v>
      </c>
      <c r="K36" s="9">
        <f t="shared" si="4"/>
        <v>309.83333333333331</v>
      </c>
      <c r="L36" s="9">
        <f t="shared" si="4"/>
        <v>359.41666666666669</v>
      </c>
      <c r="M36" s="9">
        <f t="shared" si="4"/>
        <v>243.16666666666666</v>
      </c>
      <c r="N36" s="9">
        <f t="shared" si="4"/>
        <v>526.58333333333337</v>
      </c>
    </row>
    <row r="37" spans="1:14">
      <c r="A37" s="8">
        <v>40391</v>
      </c>
      <c r="B37" s="9">
        <f t="shared" si="4"/>
        <v>567.58333333333337</v>
      </c>
      <c r="C37" s="9">
        <f t="shared" si="4"/>
        <v>7</v>
      </c>
      <c r="D37" s="9">
        <f t="shared" si="4"/>
        <v>86.833333333333329</v>
      </c>
      <c r="E37" s="9">
        <f t="shared" si="4"/>
        <v>384.41666666666669</v>
      </c>
      <c r="F37" s="9">
        <f t="shared" si="4"/>
        <v>737.16666666666663</v>
      </c>
      <c r="G37" s="9">
        <f t="shared" si="4"/>
        <v>3.5366666666666666</v>
      </c>
      <c r="H37" s="9">
        <f t="shared" si="4"/>
        <v>346.33333333333331</v>
      </c>
      <c r="I37" s="9">
        <f t="shared" si="4"/>
        <v>2.3333333333333335</v>
      </c>
      <c r="J37" s="9">
        <f t="shared" si="4"/>
        <v>151.5</v>
      </c>
      <c r="K37" s="9">
        <f t="shared" si="4"/>
        <v>318.41666666666669</v>
      </c>
      <c r="L37" s="9">
        <f t="shared" si="4"/>
        <v>447.75</v>
      </c>
      <c r="M37" s="9">
        <f t="shared" si="4"/>
        <v>326.75</v>
      </c>
      <c r="N37" s="9">
        <f t="shared" si="4"/>
        <v>452.66666666666669</v>
      </c>
    </row>
    <row r="38" spans="1:14">
      <c r="A38" s="8">
        <v>40422</v>
      </c>
      <c r="B38" s="9">
        <f t="shared" si="4"/>
        <v>572.58333333333337</v>
      </c>
      <c r="C38" s="9">
        <f t="shared" si="4"/>
        <v>7.166666666666667</v>
      </c>
      <c r="D38" s="9">
        <f t="shared" si="4"/>
        <v>86.25</v>
      </c>
      <c r="E38" s="9">
        <f t="shared" si="4"/>
        <v>387.66666666666669</v>
      </c>
      <c r="F38" s="9">
        <f t="shared" si="4"/>
        <v>691.83333333333337</v>
      </c>
      <c r="G38" s="9">
        <f t="shared" si="4"/>
        <v>3.6983333333333328</v>
      </c>
      <c r="H38" s="9">
        <f t="shared" si="4"/>
        <v>340.66666666666669</v>
      </c>
      <c r="I38" s="9">
        <f t="shared" si="4"/>
        <v>2.6666666666666665</v>
      </c>
      <c r="J38" s="9">
        <f t="shared" si="4"/>
        <v>166.58333333333334</v>
      </c>
      <c r="K38" s="9">
        <f t="shared" si="4"/>
        <v>339.91666666666669</v>
      </c>
      <c r="L38" s="9">
        <f t="shared" si="4"/>
        <v>483.75</v>
      </c>
      <c r="M38" s="9">
        <f t="shared" si="4"/>
        <v>364.91666666666669</v>
      </c>
      <c r="N38" s="9">
        <f t="shared" si="4"/>
        <v>422.91666666666669</v>
      </c>
    </row>
    <row r="39" spans="1:14">
      <c r="A39" s="8">
        <v>40452</v>
      </c>
      <c r="B39" s="9">
        <f t="shared" si="4"/>
        <v>568.58333333333337</v>
      </c>
      <c r="C39" s="9">
        <f t="shared" si="4"/>
        <v>6.75</v>
      </c>
      <c r="D39" s="9">
        <f t="shared" si="4"/>
        <v>87.333333333333329</v>
      </c>
      <c r="E39" s="9">
        <f t="shared" si="4"/>
        <v>388.75</v>
      </c>
      <c r="F39" s="9">
        <f t="shared" si="4"/>
        <v>645.41666666666663</v>
      </c>
      <c r="G39" s="9">
        <f t="shared" si="4"/>
        <v>3.7366666666666664</v>
      </c>
      <c r="H39" s="9">
        <f t="shared" si="4"/>
        <v>358</v>
      </c>
      <c r="I39" s="9">
        <f t="shared" si="4"/>
        <v>3</v>
      </c>
      <c r="J39" s="9">
        <f t="shared" si="4"/>
        <v>174</v>
      </c>
      <c r="K39" s="9">
        <f t="shared" si="4"/>
        <v>344.25</v>
      </c>
      <c r="L39" s="9">
        <f t="shared" si="4"/>
        <v>454.58333333333331</v>
      </c>
      <c r="M39" s="9">
        <f t="shared" si="4"/>
        <v>363.08333333333331</v>
      </c>
      <c r="N39" s="9">
        <f t="shared" si="4"/>
        <v>420.25</v>
      </c>
    </row>
    <row r="40" spans="1:14">
      <c r="A40" s="8">
        <v>40483</v>
      </c>
      <c r="B40" s="9">
        <f t="shared" si="4"/>
        <v>574.41666666666663</v>
      </c>
      <c r="C40" s="9">
        <f t="shared" si="4"/>
        <v>6.666666666666667</v>
      </c>
      <c r="D40" s="9">
        <f t="shared" si="4"/>
        <v>87.916666666666671</v>
      </c>
      <c r="E40" s="9">
        <f t="shared" si="4"/>
        <v>382.16666666666669</v>
      </c>
      <c r="F40" s="9">
        <f t="shared" si="4"/>
        <v>612.66666666666663</v>
      </c>
      <c r="G40" s="9">
        <f t="shared" si="4"/>
        <v>4.4749999999999996</v>
      </c>
      <c r="H40" s="9">
        <f t="shared" si="4"/>
        <v>353.16666666666669</v>
      </c>
      <c r="I40" s="9">
        <f t="shared" si="4"/>
        <v>3.1666666666666665</v>
      </c>
      <c r="J40" s="9">
        <f t="shared" si="4"/>
        <v>172.08333333333334</v>
      </c>
      <c r="K40" s="9">
        <f t="shared" si="4"/>
        <v>355.41666666666669</v>
      </c>
      <c r="L40" s="9">
        <f t="shared" si="4"/>
        <v>447.25</v>
      </c>
      <c r="M40" s="9">
        <f t="shared" si="4"/>
        <v>356</v>
      </c>
      <c r="N40" s="9">
        <f t="shared" si="4"/>
        <v>431.83333333333331</v>
      </c>
    </row>
    <row r="41" spans="1:14">
      <c r="A41" s="8">
        <v>40513</v>
      </c>
      <c r="B41" s="9">
        <f t="shared" si="4"/>
        <v>569.5</v>
      </c>
      <c r="C41" s="9">
        <f t="shared" si="4"/>
        <v>6.666666666666667</v>
      </c>
      <c r="D41" s="9">
        <f t="shared" si="4"/>
        <v>88.583333333333329</v>
      </c>
      <c r="E41" s="9">
        <f t="shared" si="4"/>
        <v>387.25</v>
      </c>
      <c r="F41" s="9">
        <f t="shared" si="4"/>
        <v>589.16666666666663</v>
      </c>
      <c r="G41" s="9">
        <f t="shared" si="4"/>
        <v>4.6099999999999994</v>
      </c>
      <c r="H41" s="9">
        <f t="shared" si="4"/>
        <v>351.41666666666669</v>
      </c>
      <c r="I41" s="9">
        <f t="shared" si="4"/>
        <v>3.0833333333333335</v>
      </c>
      <c r="J41" s="9">
        <f t="shared" si="4"/>
        <v>173.58333333333334</v>
      </c>
      <c r="K41" s="9">
        <f t="shared" si="4"/>
        <v>365.5</v>
      </c>
      <c r="L41" s="9">
        <f t="shared" si="4"/>
        <v>450.08333333333331</v>
      </c>
      <c r="M41" s="9">
        <f t="shared" si="4"/>
        <v>346.41666666666669</v>
      </c>
      <c r="N41" s="9">
        <f t="shared" si="4"/>
        <v>435</v>
      </c>
    </row>
    <row r="42" spans="1:14">
      <c r="A42" s="8">
        <v>40544</v>
      </c>
      <c r="B42" s="9">
        <f t="shared" si="4"/>
        <v>570.16666666666663</v>
      </c>
      <c r="C42" s="9">
        <f t="shared" si="4"/>
        <v>6.416666666666667</v>
      </c>
      <c r="D42" s="9">
        <f t="shared" si="4"/>
        <v>89.666666666666671</v>
      </c>
      <c r="E42" s="9">
        <f t="shared" si="4"/>
        <v>385.5</v>
      </c>
      <c r="F42" s="9">
        <f t="shared" si="4"/>
        <v>582.08333333333337</v>
      </c>
      <c r="G42" s="9">
        <f t="shared" si="4"/>
        <v>5.6449999999999996</v>
      </c>
      <c r="H42" s="9">
        <f t="shared" si="4"/>
        <v>349.41666666666669</v>
      </c>
      <c r="I42" s="9">
        <f t="shared" si="4"/>
        <v>3</v>
      </c>
      <c r="J42" s="9">
        <f t="shared" si="4"/>
        <v>173.25</v>
      </c>
      <c r="K42" s="9">
        <f t="shared" si="4"/>
        <v>364.75</v>
      </c>
      <c r="L42" s="9">
        <f t="shared" si="4"/>
        <v>458.41666666666669</v>
      </c>
      <c r="M42" s="9">
        <f t="shared" si="4"/>
        <v>339</v>
      </c>
      <c r="N42" s="9">
        <f t="shared" si="4"/>
        <v>422</v>
      </c>
    </row>
  </sheetData>
  <mergeCells count="2">
    <mergeCell ref="A1:N1"/>
    <mergeCell ref="A29:N29"/>
  </mergeCells>
  <pageMargins left="0.7" right="0.7" top="0.75" bottom="0.75" header="0.3" footer="0.3"/>
  <ignoredErrors>
    <ignoredError sqref="B30:N4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</dc:creator>
  <cp:lastModifiedBy>PKN</cp:lastModifiedBy>
  <dcterms:created xsi:type="dcterms:W3CDTF">2023-03-29T10:06:27Z</dcterms:created>
  <dcterms:modified xsi:type="dcterms:W3CDTF">2023-04-03T02:05:40Z</dcterms:modified>
</cp:coreProperties>
</file>