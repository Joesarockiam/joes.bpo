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EOQ1" sheetId="1" r:id="rId1"/>
    <sheet name="EOQ2" sheetId="6" r:id="rId2"/>
    <sheet name="EPQ_1" sheetId="4" r:id="rId3"/>
    <sheet name="Sheet1" sheetId="10" r:id="rId4"/>
  </sheets>
  <definedNames>
    <definedName name="_xlnm._FilterDatabase" localSheetId="0" hidden="1">'EOQ1'!$A$1:$H$24</definedName>
    <definedName name="Glue">IF(#REF!="Glue",'EOQ1'!#REF!,0)</definedName>
    <definedName name="Wood_Pieces">IF(#REF!="Wood_Pieces",'EOQ1'!$A$2:$E$23,0)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K8"/>
  <c r="H4" i="1"/>
  <c r="H5"/>
  <c r="H3"/>
  <c r="F3" i="6" l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"/>
  <c r="H6"/>
  <c r="H2"/>
  <c r="A4"/>
  <c r="A5"/>
  <c r="A6"/>
  <c r="A7"/>
  <c r="A8"/>
  <c r="A9"/>
  <c r="A10"/>
  <c r="A11"/>
  <c r="A12"/>
  <c r="A13"/>
  <c r="A14"/>
  <c r="A15"/>
  <c r="A16" s="1"/>
  <c r="A17" s="1"/>
  <c r="A18" s="1"/>
  <c r="A19" s="1"/>
  <c r="A20" s="1"/>
  <c r="A21" s="1"/>
  <c r="A22" s="1"/>
  <c r="A3"/>
  <c r="D3"/>
  <c r="D2"/>
  <c r="B2"/>
  <c r="C2" s="1"/>
  <c r="E2" s="1"/>
  <c r="D4" l="1"/>
  <c r="B4"/>
  <c r="C4" s="1"/>
  <c r="E4" s="1"/>
  <c r="B3"/>
  <c r="C3" s="1"/>
  <c r="E3" s="1"/>
  <c r="D5" l="1"/>
  <c r="B5" l="1"/>
  <c r="C5" s="1"/>
  <c r="E5"/>
  <c r="D6"/>
  <c r="B6"/>
  <c r="C6" s="1"/>
  <c r="A4" i="1"/>
  <c r="A5" s="1"/>
  <c r="H7"/>
  <c r="D2" i="4"/>
  <c r="K6"/>
  <c r="B2"/>
  <c r="C2" s="1"/>
  <c r="E2" s="1"/>
  <c r="B3"/>
  <c r="C3" s="1"/>
  <c r="K3"/>
  <c r="B3" i="1"/>
  <c r="C3" s="1"/>
  <c r="D3" i="4" l="1"/>
  <c r="E3" s="1"/>
  <c r="D4" i="1"/>
  <c r="B4"/>
  <c r="C4" s="1"/>
  <c r="B5"/>
  <c r="C5" s="1"/>
  <c r="D5"/>
  <c r="A6"/>
  <c r="E6" i="6"/>
  <c r="B7"/>
  <c r="C7" s="1"/>
  <c r="D7"/>
  <c r="D3" i="1"/>
  <c r="E3" s="1"/>
  <c r="B4" i="4" l="1"/>
  <c r="C4" s="1"/>
  <c r="D4"/>
  <c r="E4" i="1"/>
  <c r="A7"/>
  <c r="D6"/>
  <c r="B6"/>
  <c r="C6" s="1"/>
  <c r="E5"/>
  <c r="E7" i="6"/>
  <c r="D8"/>
  <c r="B8"/>
  <c r="C8" s="1"/>
  <c r="E4" i="4" l="1"/>
  <c r="B5"/>
  <c r="C5" s="1"/>
  <c r="D5"/>
  <c r="E6" i="1"/>
  <c r="A8"/>
  <c r="B7"/>
  <c r="C7" s="1"/>
  <c r="D7"/>
  <c r="E8" i="6"/>
  <c r="D9"/>
  <c r="B9"/>
  <c r="C9" s="1"/>
  <c r="E9" s="1"/>
  <c r="E5" i="4" l="1"/>
  <c r="B6"/>
  <c r="C6" s="1"/>
  <c r="D6"/>
  <c r="E7" i="1"/>
  <c r="A9"/>
  <c r="B8"/>
  <c r="C8" s="1"/>
  <c r="D8"/>
  <c r="D10" i="6"/>
  <c r="B10"/>
  <c r="C10" s="1"/>
  <c r="E10" s="1"/>
  <c r="E6" i="4" l="1"/>
  <c r="B7"/>
  <c r="C7" s="1"/>
  <c r="D7"/>
  <c r="E8" i="1"/>
  <c r="A10"/>
  <c r="B9"/>
  <c r="C9" s="1"/>
  <c r="D9"/>
  <c r="D11" i="6"/>
  <c r="B11"/>
  <c r="C11" s="1"/>
  <c r="E7" i="4" l="1"/>
  <c r="D8"/>
  <c r="B8"/>
  <c r="C8" s="1"/>
  <c r="E8" s="1"/>
  <c r="E9" i="1"/>
  <c r="A11"/>
  <c r="B10"/>
  <c r="C10" s="1"/>
  <c r="D10"/>
  <c r="E11" i="6"/>
  <c r="D12"/>
  <c r="B12"/>
  <c r="C12" s="1"/>
  <c r="D9" i="4" l="1"/>
  <c r="B9"/>
  <c r="C9" s="1"/>
  <c r="E9" s="1"/>
  <c r="E10" i="1"/>
  <c r="A12"/>
  <c r="B11"/>
  <c r="C11" s="1"/>
  <c r="D11"/>
  <c r="E12" i="6"/>
  <c r="B13"/>
  <c r="C13" s="1"/>
  <c r="D13"/>
  <c r="D10" i="4" l="1"/>
  <c r="B10"/>
  <c r="C10" s="1"/>
  <c r="E11" i="1"/>
  <c r="A13"/>
  <c r="D12"/>
  <c r="B12"/>
  <c r="C12" s="1"/>
  <c r="D14" i="6"/>
  <c r="B14"/>
  <c r="C14" s="1"/>
  <c r="E13"/>
  <c r="D11" i="4" l="1"/>
  <c r="B11"/>
  <c r="C11" s="1"/>
  <c r="E10"/>
  <c r="E12" i="1"/>
  <c r="A14"/>
  <c r="D13"/>
  <c r="B13"/>
  <c r="C13" s="1"/>
  <c r="E14" i="6"/>
  <c r="D15"/>
  <c r="B15"/>
  <c r="C15" s="1"/>
  <c r="E11" i="4" l="1"/>
  <c r="B12"/>
  <c r="C12" s="1"/>
  <c r="D12"/>
  <c r="E13" i="1"/>
  <c r="A15"/>
  <c r="B14"/>
  <c r="C14" s="1"/>
  <c r="D14"/>
  <c r="E15" i="6"/>
  <c r="D16"/>
  <c r="B16"/>
  <c r="C16" s="1"/>
  <c r="E12" i="4" l="1"/>
  <c r="D13"/>
  <c r="B13"/>
  <c r="C13" s="1"/>
  <c r="E14" i="1"/>
  <c r="A16"/>
  <c r="B15"/>
  <c r="C15" s="1"/>
  <c r="D15"/>
  <c r="E16" i="6"/>
  <c r="D17"/>
  <c r="B17"/>
  <c r="C17" s="1"/>
  <c r="E17" s="1"/>
  <c r="E13" i="4" l="1"/>
  <c r="D14"/>
  <c r="B14"/>
  <c r="C14" s="1"/>
  <c r="E15" i="1"/>
  <c r="A17"/>
  <c r="B16"/>
  <c r="C16" s="1"/>
  <c r="D16"/>
  <c r="D18" i="6"/>
  <c r="B18"/>
  <c r="C18" s="1"/>
  <c r="E18" s="1"/>
  <c r="E14" i="4" l="1"/>
  <c r="B15"/>
  <c r="C15" s="1"/>
  <c r="D15"/>
  <c r="E16" i="1"/>
  <c r="A18"/>
  <c r="D17"/>
  <c r="B17"/>
  <c r="C17" s="1"/>
  <c r="B19" i="6"/>
  <c r="C19" s="1"/>
  <c r="D19"/>
  <c r="E15" i="4" l="1"/>
  <c r="B16"/>
  <c r="C16" s="1"/>
  <c r="D16"/>
  <c r="E17" i="1"/>
  <c r="A19"/>
  <c r="D18"/>
  <c r="B18"/>
  <c r="C18" s="1"/>
  <c r="E19" i="6"/>
  <c r="B20"/>
  <c r="C20" s="1"/>
  <c r="D20"/>
  <c r="E18" i="1" l="1"/>
  <c r="E16" i="4"/>
  <c r="B17"/>
  <c r="C17" s="1"/>
  <c r="D17"/>
  <c r="E17" s="1"/>
  <c r="A20" i="1"/>
  <c r="B19"/>
  <c r="C19" s="1"/>
  <c r="D19"/>
  <c r="E20" i="6"/>
  <c r="D21"/>
  <c r="B21"/>
  <c r="C21" s="1"/>
  <c r="E21" s="1"/>
  <c r="B18" i="4" l="1"/>
  <c r="C18" s="1"/>
  <c r="D18"/>
  <c r="E19" i="1"/>
  <c r="A21"/>
  <c r="B20"/>
  <c r="C20" s="1"/>
  <c r="D20"/>
  <c r="B22" i="6"/>
  <c r="C22" s="1"/>
  <c r="D22"/>
  <c r="E18" i="4" l="1"/>
  <c r="D19"/>
  <c r="B19"/>
  <c r="C19" s="1"/>
  <c r="E19" s="1"/>
  <c r="E20" i="1"/>
  <c r="A22"/>
  <c r="B21"/>
  <c r="C21" s="1"/>
  <c r="D21"/>
  <c r="E22" i="6"/>
  <c r="D20" i="4" l="1"/>
  <c r="B20"/>
  <c r="C20" s="1"/>
  <c r="E20" s="1"/>
  <c r="E21" i="1"/>
  <c r="D22"/>
  <c r="A23"/>
  <c r="B22"/>
  <c r="C22" s="1"/>
  <c r="D21" i="4" l="1"/>
  <c r="B21"/>
  <c r="C21" s="1"/>
  <c r="E22" i="1"/>
  <c r="A24"/>
  <c r="A25" s="1"/>
  <c r="B23"/>
  <c r="C23" s="1"/>
  <c r="D23"/>
  <c r="E21" i="4" l="1"/>
  <c r="D25" i="1"/>
  <c r="A26"/>
  <c r="B25"/>
  <c r="C25" s="1"/>
  <c r="E23"/>
  <c r="D24"/>
  <c r="B24"/>
  <c r="C24" s="1"/>
  <c r="E25" l="1"/>
  <c r="D26"/>
  <c r="A27"/>
  <c r="B26"/>
  <c r="C26" s="1"/>
  <c r="E26" s="1"/>
  <c r="E24"/>
  <c r="D27" l="1"/>
  <c r="B27"/>
  <c r="C27" s="1"/>
  <c r="A28"/>
  <c r="E27" l="1"/>
  <c r="B28"/>
  <c r="C28" s="1"/>
  <c r="D28"/>
  <c r="A29"/>
  <c r="B29" l="1"/>
  <c r="C29" s="1"/>
  <c r="D29"/>
  <c r="E28"/>
  <c r="E29" l="1"/>
</calcChain>
</file>

<file path=xl/sharedStrings.xml><?xml version="1.0" encoding="utf-8"?>
<sst xmlns="http://schemas.openxmlformats.org/spreadsheetml/2006/main" count="44" uniqueCount="34">
  <si>
    <t>Volume per order</t>
  </si>
  <si>
    <t>Annual Cost</t>
  </si>
  <si>
    <t>Annual Holding Cost</t>
  </si>
  <si>
    <t>Orders per year</t>
  </si>
  <si>
    <t>Total Variable Cost</t>
  </si>
  <si>
    <t>EOQ</t>
  </si>
  <si>
    <t>Glue</t>
  </si>
  <si>
    <t>Colour</t>
  </si>
  <si>
    <t>No.of working days</t>
  </si>
  <si>
    <t>Production rate(p)</t>
  </si>
  <si>
    <t>Demand for 1 day(d)</t>
  </si>
  <si>
    <t>Annual Demand(D)</t>
  </si>
  <si>
    <t>Ordering Cost(S)</t>
  </si>
  <si>
    <t>Carrying Cost(H)</t>
  </si>
  <si>
    <t>No.of Orders</t>
  </si>
  <si>
    <t>Order Size</t>
  </si>
  <si>
    <t>Cost per unit©</t>
  </si>
  <si>
    <t>Total Cost</t>
  </si>
  <si>
    <t>Average Setup Cost</t>
  </si>
  <si>
    <t>Average Holding Cost</t>
  </si>
  <si>
    <t>DEMAND</t>
  </si>
  <si>
    <t>SETUP COST</t>
  </si>
  <si>
    <t>HOLDING COST</t>
  </si>
  <si>
    <t>&lt;50</t>
  </si>
  <si>
    <t>50-79</t>
  </si>
  <si>
    <t>80-99</t>
  </si>
  <si>
    <t>&gt;100</t>
  </si>
  <si>
    <t>EPQ</t>
  </si>
  <si>
    <t>COST</t>
  </si>
  <si>
    <t>Wood Pieces</t>
  </si>
  <si>
    <t>D</t>
  </si>
  <si>
    <t>S</t>
  </si>
  <si>
    <t>H</t>
  </si>
  <si>
    <t>Annual Setup Cost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</si>
</sst>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/>
    <xf numFmtId="2" fontId="0" fillId="0" borderId="1" xfId="0" applyNumberFormat="1" applyFill="1" applyBorder="1"/>
    <xf numFmtId="0" fontId="0" fillId="0" borderId="7" xfId="0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3" xfId="0" applyFill="1" applyBorder="1"/>
    <xf numFmtId="0" fontId="1" fillId="0" borderId="1" xfId="0" applyFont="1" applyFill="1" applyBorder="1"/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EOQ</a:t>
            </a:r>
            <a:r>
              <a:rPr lang="en-IN" baseline="0"/>
              <a:t> CHART</a:t>
            </a:r>
            <a:endParaRPr lang="en-IN"/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'EOQ1'!$C$2</c:f>
              <c:strCache>
                <c:ptCount val="1"/>
                <c:pt idx="0">
                  <c:v>Annual Setup Cost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'EOQ1'!$C$3:$C$29</c:f>
              <c:numCache>
                <c:formatCode>0.00</c:formatCode>
                <c:ptCount val="27"/>
                <c:pt idx="0">
                  <c:v>300</c:v>
                </c:pt>
                <c:pt idx="1">
                  <c:v>150</c:v>
                </c:pt>
                <c:pt idx="2">
                  <c:v>100</c:v>
                </c:pt>
                <c:pt idx="3">
                  <c:v>75</c:v>
                </c:pt>
                <c:pt idx="4">
                  <c:v>60</c:v>
                </c:pt>
                <c:pt idx="5">
                  <c:v>50</c:v>
                </c:pt>
                <c:pt idx="6">
                  <c:v>42.857142857142861</c:v>
                </c:pt>
                <c:pt idx="7">
                  <c:v>37.5</c:v>
                </c:pt>
                <c:pt idx="8">
                  <c:v>33.333333333333336</c:v>
                </c:pt>
                <c:pt idx="9">
                  <c:v>30</c:v>
                </c:pt>
                <c:pt idx="10">
                  <c:v>27.272727272727273</c:v>
                </c:pt>
                <c:pt idx="11">
                  <c:v>25</c:v>
                </c:pt>
                <c:pt idx="12">
                  <c:v>23.076923076923077</c:v>
                </c:pt>
                <c:pt idx="13">
                  <c:v>21.428571428571431</c:v>
                </c:pt>
                <c:pt idx="14">
                  <c:v>20</c:v>
                </c:pt>
                <c:pt idx="15">
                  <c:v>18.75</c:v>
                </c:pt>
                <c:pt idx="16">
                  <c:v>17.647058823529413</c:v>
                </c:pt>
                <c:pt idx="17">
                  <c:v>16.666666666666668</c:v>
                </c:pt>
                <c:pt idx="18">
                  <c:v>15.789473684210526</c:v>
                </c:pt>
                <c:pt idx="19">
                  <c:v>15</c:v>
                </c:pt>
                <c:pt idx="20">
                  <c:v>14.285714285714285</c:v>
                </c:pt>
                <c:pt idx="21">
                  <c:v>13.636363636363637</c:v>
                </c:pt>
                <c:pt idx="22">
                  <c:v>13.043478260869565</c:v>
                </c:pt>
                <c:pt idx="23">
                  <c:v>12.5</c:v>
                </c:pt>
                <c:pt idx="24">
                  <c:v>12</c:v>
                </c:pt>
                <c:pt idx="25">
                  <c:v>11.538461538461538</c:v>
                </c:pt>
                <c:pt idx="26">
                  <c:v>11.111111111111111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FE5-443C-9E32-D397255F0F4E}"/>
            </c:ext>
          </c:extLst>
        </c:ser>
        <c:ser>
          <c:idx val="1"/>
          <c:order val="1"/>
          <c:tx>
            <c:strRef>
              <c:f>'EOQ1'!$D$2</c:f>
              <c:strCache>
                <c:ptCount val="1"/>
                <c:pt idx="0">
                  <c:v>Annual Holding Cost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'EOQ1'!$D$3:$D$29</c:f>
              <c:numCache>
                <c:formatCode>General</c:formatCode>
                <c:ptCount val="27"/>
                <c:pt idx="0">
                  <c:v>16.25</c:v>
                </c:pt>
                <c:pt idx="1">
                  <c:v>32.5</c:v>
                </c:pt>
                <c:pt idx="2">
                  <c:v>48.75</c:v>
                </c:pt>
                <c:pt idx="3">
                  <c:v>65</c:v>
                </c:pt>
                <c:pt idx="4">
                  <c:v>81.25</c:v>
                </c:pt>
                <c:pt idx="5">
                  <c:v>97.5</c:v>
                </c:pt>
                <c:pt idx="6">
                  <c:v>113.75</c:v>
                </c:pt>
                <c:pt idx="7">
                  <c:v>130</c:v>
                </c:pt>
                <c:pt idx="8">
                  <c:v>146.25</c:v>
                </c:pt>
                <c:pt idx="9">
                  <c:v>162.5</c:v>
                </c:pt>
                <c:pt idx="10">
                  <c:v>178.75</c:v>
                </c:pt>
                <c:pt idx="11">
                  <c:v>195</c:v>
                </c:pt>
                <c:pt idx="12">
                  <c:v>211.25</c:v>
                </c:pt>
                <c:pt idx="13">
                  <c:v>227.5</c:v>
                </c:pt>
                <c:pt idx="14">
                  <c:v>243.75</c:v>
                </c:pt>
                <c:pt idx="15">
                  <c:v>260</c:v>
                </c:pt>
                <c:pt idx="16">
                  <c:v>276.25</c:v>
                </c:pt>
                <c:pt idx="17">
                  <c:v>292.5</c:v>
                </c:pt>
                <c:pt idx="18">
                  <c:v>308.75</c:v>
                </c:pt>
                <c:pt idx="19">
                  <c:v>325</c:v>
                </c:pt>
                <c:pt idx="20">
                  <c:v>341.25</c:v>
                </c:pt>
                <c:pt idx="21">
                  <c:v>357.5</c:v>
                </c:pt>
                <c:pt idx="22">
                  <c:v>373.75</c:v>
                </c:pt>
                <c:pt idx="23">
                  <c:v>390</c:v>
                </c:pt>
                <c:pt idx="24">
                  <c:v>406.25</c:v>
                </c:pt>
                <c:pt idx="25">
                  <c:v>422.5</c:v>
                </c:pt>
                <c:pt idx="26">
                  <c:v>438.75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FE5-443C-9E32-D397255F0F4E}"/>
            </c:ext>
          </c:extLst>
        </c:ser>
        <c:ser>
          <c:idx val="2"/>
          <c:order val="2"/>
          <c:tx>
            <c:strRef>
              <c:f>'EOQ1'!$E$2</c:f>
              <c:strCache>
                <c:ptCount val="1"/>
                <c:pt idx="0">
                  <c:v>Total Variable Cost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'EOQ1'!$E$3:$E$29</c:f>
              <c:numCache>
                <c:formatCode>0.00</c:formatCode>
                <c:ptCount val="27"/>
                <c:pt idx="0">
                  <c:v>316.25</c:v>
                </c:pt>
                <c:pt idx="1">
                  <c:v>182.5</c:v>
                </c:pt>
                <c:pt idx="2">
                  <c:v>148.75</c:v>
                </c:pt>
                <c:pt idx="3">
                  <c:v>140</c:v>
                </c:pt>
                <c:pt idx="4">
                  <c:v>141.25</c:v>
                </c:pt>
                <c:pt idx="5">
                  <c:v>147.5</c:v>
                </c:pt>
                <c:pt idx="6">
                  <c:v>156.60714285714286</c:v>
                </c:pt>
                <c:pt idx="7">
                  <c:v>167.5</c:v>
                </c:pt>
                <c:pt idx="8">
                  <c:v>179.58333333333334</c:v>
                </c:pt>
                <c:pt idx="9">
                  <c:v>192.5</c:v>
                </c:pt>
                <c:pt idx="10">
                  <c:v>206.02272727272728</c:v>
                </c:pt>
                <c:pt idx="11">
                  <c:v>220</c:v>
                </c:pt>
                <c:pt idx="12">
                  <c:v>234.32692307692307</c:v>
                </c:pt>
                <c:pt idx="13">
                  <c:v>248.92857142857144</c:v>
                </c:pt>
                <c:pt idx="14">
                  <c:v>263.75</c:v>
                </c:pt>
                <c:pt idx="15">
                  <c:v>278.75</c:v>
                </c:pt>
                <c:pt idx="16">
                  <c:v>293.89705882352939</c:v>
                </c:pt>
                <c:pt idx="17">
                  <c:v>309.16666666666669</c:v>
                </c:pt>
                <c:pt idx="18">
                  <c:v>324.53947368421052</c:v>
                </c:pt>
                <c:pt idx="19">
                  <c:v>340</c:v>
                </c:pt>
                <c:pt idx="20">
                  <c:v>355.53571428571428</c:v>
                </c:pt>
                <c:pt idx="21">
                  <c:v>371.13636363636363</c:v>
                </c:pt>
                <c:pt idx="22">
                  <c:v>386.79347826086956</c:v>
                </c:pt>
                <c:pt idx="23">
                  <c:v>402.5</c:v>
                </c:pt>
                <c:pt idx="24">
                  <c:v>418.25</c:v>
                </c:pt>
                <c:pt idx="25">
                  <c:v>434.03846153846155</c:v>
                </c:pt>
                <c:pt idx="26">
                  <c:v>449.86111111111109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FE5-443C-9E32-D397255F0F4E}"/>
            </c:ext>
          </c:extLst>
        </c:ser>
        <c:dLbls>
          <c:showVal val="1"/>
        </c:dLbls>
        <c:marker val="1"/>
        <c:axId val="138590080"/>
        <c:axId val="138591616"/>
      </c:lineChart>
      <c:catAx>
        <c:axId val="138590080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1616"/>
        <c:crosses val="autoZero"/>
        <c:auto val="1"/>
        <c:lblAlgn val="ctr"/>
        <c:lblOffset val="100"/>
      </c:catAx>
      <c:valAx>
        <c:axId val="1385916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EOQ</a:t>
            </a:r>
            <a:r>
              <a:rPr lang="en-IN" baseline="0"/>
              <a:t> CHART</a:t>
            </a:r>
            <a:endParaRPr lang="en-IN"/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'EOQ2'!$C$1</c:f>
              <c:strCache>
                <c:ptCount val="1"/>
                <c:pt idx="0">
                  <c:v>Annual Cost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'EOQ2'!$C$2:$C$22</c:f>
              <c:numCache>
                <c:formatCode>General</c:formatCode>
                <c:ptCount val="21"/>
                <c:pt idx="0">
                  <c:v>12000</c:v>
                </c:pt>
                <c:pt idx="1">
                  <c:v>6000</c:v>
                </c:pt>
                <c:pt idx="2">
                  <c:v>4000</c:v>
                </c:pt>
                <c:pt idx="3">
                  <c:v>3000</c:v>
                </c:pt>
                <c:pt idx="4">
                  <c:v>2400</c:v>
                </c:pt>
                <c:pt idx="5">
                  <c:v>2000</c:v>
                </c:pt>
                <c:pt idx="6">
                  <c:v>1714.2857142857142</c:v>
                </c:pt>
                <c:pt idx="7">
                  <c:v>1500</c:v>
                </c:pt>
                <c:pt idx="8">
                  <c:v>1333.3333333333335</c:v>
                </c:pt>
                <c:pt idx="9">
                  <c:v>1200</c:v>
                </c:pt>
                <c:pt idx="10">
                  <c:v>1090.9090909090908</c:v>
                </c:pt>
                <c:pt idx="11">
                  <c:v>1000</c:v>
                </c:pt>
                <c:pt idx="12">
                  <c:v>923.07692307692298</c:v>
                </c:pt>
                <c:pt idx="13">
                  <c:v>857.14285714285711</c:v>
                </c:pt>
                <c:pt idx="14">
                  <c:v>800</c:v>
                </c:pt>
                <c:pt idx="15">
                  <c:v>750</c:v>
                </c:pt>
                <c:pt idx="16">
                  <c:v>705.88235294117646</c:v>
                </c:pt>
                <c:pt idx="17">
                  <c:v>666.66666666666674</c:v>
                </c:pt>
                <c:pt idx="18">
                  <c:v>631.57894736842104</c:v>
                </c:pt>
                <c:pt idx="19">
                  <c:v>600</c:v>
                </c:pt>
                <c:pt idx="20">
                  <c:v>571.42857142857144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4D-4B32-B8A5-15E4FA94E04B}"/>
            </c:ext>
          </c:extLst>
        </c:ser>
        <c:ser>
          <c:idx val="1"/>
          <c:order val="1"/>
          <c:tx>
            <c:strRef>
              <c:f>'EOQ2'!$D$1</c:f>
              <c:strCache>
                <c:ptCount val="1"/>
                <c:pt idx="0">
                  <c:v>Annual Holding Cost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'EOQ2'!$D$2:$D$22</c:f>
              <c:numCache>
                <c:formatCode>General</c:formatCode>
                <c:ptCount val="2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4D-4B32-B8A5-15E4FA94E04B}"/>
            </c:ext>
          </c:extLst>
        </c:ser>
        <c:ser>
          <c:idx val="2"/>
          <c:order val="2"/>
          <c:tx>
            <c:strRef>
              <c:f>'EOQ2'!$E$1</c:f>
              <c:strCache>
                <c:ptCount val="1"/>
                <c:pt idx="0">
                  <c:v>Total Variable Cost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'EOQ2'!$E$2:$E$22</c:f>
              <c:numCache>
                <c:formatCode>General</c:formatCode>
                <c:ptCount val="21"/>
                <c:pt idx="0">
                  <c:v>12100</c:v>
                </c:pt>
                <c:pt idx="1">
                  <c:v>6200</c:v>
                </c:pt>
                <c:pt idx="2">
                  <c:v>4300</c:v>
                </c:pt>
                <c:pt idx="3">
                  <c:v>3400</c:v>
                </c:pt>
                <c:pt idx="4">
                  <c:v>2900</c:v>
                </c:pt>
                <c:pt idx="5">
                  <c:v>2600</c:v>
                </c:pt>
                <c:pt idx="6">
                  <c:v>2414.2857142857142</c:v>
                </c:pt>
                <c:pt idx="7">
                  <c:v>2300</c:v>
                </c:pt>
                <c:pt idx="8">
                  <c:v>2233.3333333333335</c:v>
                </c:pt>
                <c:pt idx="9">
                  <c:v>2200</c:v>
                </c:pt>
                <c:pt idx="10">
                  <c:v>2190.909090909091</c:v>
                </c:pt>
                <c:pt idx="11">
                  <c:v>2200</c:v>
                </c:pt>
                <c:pt idx="12">
                  <c:v>2223.0769230769229</c:v>
                </c:pt>
                <c:pt idx="13">
                  <c:v>2257.1428571428569</c:v>
                </c:pt>
                <c:pt idx="14">
                  <c:v>2300</c:v>
                </c:pt>
                <c:pt idx="15">
                  <c:v>2350</c:v>
                </c:pt>
                <c:pt idx="16">
                  <c:v>2405.8823529411766</c:v>
                </c:pt>
                <c:pt idx="17">
                  <c:v>2466.666666666667</c:v>
                </c:pt>
                <c:pt idx="18">
                  <c:v>2531.5789473684208</c:v>
                </c:pt>
                <c:pt idx="19">
                  <c:v>2600</c:v>
                </c:pt>
                <c:pt idx="20">
                  <c:v>2671.4285714285716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F4D-4B32-B8A5-15E4FA94E04B}"/>
            </c:ext>
          </c:extLst>
        </c:ser>
        <c:marker val="1"/>
        <c:axId val="143436416"/>
        <c:axId val="141635968"/>
      </c:lineChart>
      <c:catAx>
        <c:axId val="14343641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5968"/>
        <c:crosses val="autoZero"/>
        <c:auto val="1"/>
        <c:lblAlgn val="ctr"/>
        <c:lblOffset val="100"/>
      </c:catAx>
      <c:valAx>
        <c:axId val="14163596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EPQ</a:t>
            </a:r>
            <a:r>
              <a:rPr lang="en-IN" baseline="0"/>
              <a:t> CHART</a:t>
            </a:r>
            <a:endParaRPr lang="en-IN"/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EPQ_1!$C$1</c:f>
              <c:strCache>
                <c:ptCount val="1"/>
                <c:pt idx="0">
                  <c:v>Average Setup Cost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EPQ_1!$C$2:$C$21</c:f>
              <c:numCache>
                <c:formatCode>0.00</c:formatCode>
                <c:ptCount val="20"/>
                <c:pt idx="0">
                  <c:v>3000</c:v>
                </c:pt>
                <c:pt idx="1">
                  <c:v>1500</c:v>
                </c:pt>
                <c:pt idx="2">
                  <c:v>1000</c:v>
                </c:pt>
                <c:pt idx="3">
                  <c:v>750</c:v>
                </c:pt>
                <c:pt idx="4">
                  <c:v>600</c:v>
                </c:pt>
                <c:pt idx="5">
                  <c:v>500</c:v>
                </c:pt>
                <c:pt idx="6">
                  <c:v>428.57142857142856</c:v>
                </c:pt>
                <c:pt idx="7">
                  <c:v>375</c:v>
                </c:pt>
                <c:pt idx="8">
                  <c:v>333.33333333333337</c:v>
                </c:pt>
                <c:pt idx="9">
                  <c:v>300</c:v>
                </c:pt>
                <c:pt idx="10">
                  <c:v>272.72727272727275</c:v>
                </c:pt>
                <c:pt idx="11">
                  <c:v>250</c:v>
                </c:pt>
                <c:pt idx="12">
                  <c:v>230.76923076923077</c:v>
                </c:pt>
                <c:pt idx="13">
                  <c:v>214.28571428571428</c:v>
                </c:pt>
                <c:pt idx="14">
                  <c:v>200</c:v>
                </c:pt>
                <c:pt idx="15">
                  <c:v>187.5</c:v>
                </c:pt>
                <c:pt idx="16">
                  <c:v>176.47058823529414</c:v>
                </c:pt>
                <c:pt idx="17">
                  <c:v>166.66666666666669</c:v>
                </c:pt>
                <c:pt idx="18">
                  <c:v>157.89473684210526</c:v>
                </c:pt>
                <c:pt idx="19">
                  <c:v>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D74-4B93-B7D2-543DD9A011D6}"/>
            </c:ext>
          </c:extLst>
        </c:ser>
        <c:ser>
          <c:idx val="1"/>
          <c:order val="1"/>
          <c:tx>
            <c:strRef>
              <c:f>EPQ_1!$D$1</c:f>
              <c:strCache>
                <c:ptCount val="1"/>
                <c:pt idx="0">
                  <c:v>Average Holding Cost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EPQ_1!$D$2:$D$21</c:f>
              <c:numCache>
                <c:formatCode>0.00</c:formatCode>
                <c:ptCount val="20"/>
                <c:pt idx="0">
                  <c:v>37.5</c:v>
                </c:pt>
                <c:pt idx="1">
                  <c:v>75</c:v>
                </c:pt>
                <c:pt idx="2">
                  <c:v>112.5</c:v>
                </c:pt>
                <c:pt idx="3">
                  <c:v>150</c:v>
                </c:pt>
                <c:pt idx="4">
                  <c:v>187.5</c:v>
                </c:pt>
                <c:pt idx="5">
                  <c:v>225</c:v>
                </c:pt>
                <c:pt idx="6">
                  <c:v>262.5</c:v>
                </c:pt>
                <c:pt idx="7">
                  <c:v>300</c:v>
                </c:pt>
                <c:pt idx="8">
                  <c:v>337.5</c:v>
                </c:pt>
                <c:pt idx="9">
                  <c:v>375</c:v>
                </c:pt>
                <c:pt idx="10">
                  <c:v>412.5</c:v>
                </c:pt>
                <c:pt idx="11">
                  <c:v>450</c:v>
                </c:pt>
                <c:pt idx="12">
                  <c:v>487.5</c:v>
                </c:pt>
                <c:pt idx="13">
                  <c:v>525</c:v>
                </c:pt>
                <c:pt idx="14">
                  <c:v>562.5</c:v>
                </c:pt>
                <c:pt idx="15">
                  <c:v>600</c:v>
                </c:pt>
                <c:pt idx="16">
                  <c:v>637.5</c:v>
                </c:pt>
                <c:pt idx="17">
                  <c:v>675</c:v>
                </c:pt>
                <c:pt idx="18">
                  <c:v>712.5</c:v>
                </c:pt>
                <c:pt idx="19">
                  <c:v>750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D74-4B93-B7D2-543DD9A011D6}"/>
            </c:ext>
          </c:extLst>
        </c:ser>
        <c:ser>
          <c:idx val="2"/>
          <c:order val="2"/>
          <c:tx>
            <c:strRef>
              <c:f>EPQ_1!$E$1</c:f>
              <c:strCache>
                <c:ptCount val="1"/>
                <c:pt idx="0">
                  <c:v>Total Cost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EPQ_1!$E$2:$E$21</c:f>
              <c:numCache>
                <c:formatCode>0.00</c:formatCode>
                <c:ptCount val="20"/>
                <c:pt idx="0">
                  <c:v>3037.5</c:v>
                </c:pt>
                <c:pt idx="1">
                  <c:v>1575</c:v>
                </c:pt>
                <c:pt idx="2">
                  <c:v>1112.5</c:v>
                </c:pt>
                <c:pt idx="3">
                  <c:v>900</c:v>
                </c:pt>
                <c:pt idx="4">
                  <c:v>787.5</c:v>
                </c:pt>
                <c:pt idx="5">
                  <c:v>725</c:v>
                </c:pt>
                <c:pt idx="6">
                  <c:v>691.07142857142856</c:v>
                </c:pt>
                <c:pt idx="7">
                  <c:v>675</c:v>
                </c:pt>
                <c:pt idx="8">
                  <c:v>670.83333333333337</c:v>
                </c:pt>
                <c:pt idx="9">
                  <c:v>675</c:v>
                </c:pt>
                <c:pt idx="10">
                  <c:v>685.22727272727275</c:v>
                </c:pt>
                <c:pt idx="11">
                  <c:v>700</c:v>
                </c:pt>
                <c:pt idx="12">
                  <c:v>718.26923076923072</c:v>
                </c:pt>
                <c:pt idx="13">
                  <c:v>739.28571428571422</c:v>
                </c:pt>
                <c:pt idx="14">
                  <c:v>762.5</c:v>
                </c:pt>
                <c:pt idx="15">
                  <c:v>787.5</c:v>
                </c:pt>
                <c:pt idx="16">
                  <c:v>813.97058823529414</c:v>
                </c:pt>
                <c:pt idx="17">
                  <c:v>841.66666666666674</c:v>
                </c:pt>
                <c:pt idx="18">
                  <c:v>870.3947368421052</c:v>
                </c:pt>
                <c:pt idx="19">
                  <c:v>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D74-4B93-B7D2-543DD9A011D6}"/>
            </c:ext>
          </c:extLst>
        </c:ser>
        <c:dLbls>
          <c:showVal val="1"/>
        </c:dLbls>
        <c:marker val="1"/>
        <c:axId val="141787904"/>
        <c:axId val="141789440"/>
      </c:lineChart>
      <c:catAx>
        <c:axId val="14178790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9440"/>
        <c:crosses val="autoZero"/>
        <c:auto val="1"/>
        <c:lblAlgn val="ctr"/>
        <c:lblOffset val="100"/>
      </c:catAx>
      <c:valAx>
        <c:axId val="1417894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379076</xdr:colOff>
      <xdr:row>7</xdr:row>
      <xdr:rowOff>179051</xdr:rowOff>
    </xdr:from>
    <xdr:to>
      <xdr:col>14</xdr:col>
      <xdr:colOff>125076</xdr:colOff>
      <xdr:row>21</xdr:row>
      <xdr:rowOff>125075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5C07CA86-AA1E-624C-52C7-5C2D1E831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8</xdr:row>
      <xdr:rowOff>93662</xdr:rowOff>
    </xdr:from>
    <xdr:to>
      <xdr:col>13</xdr:col>
      <xdr:colOff>76200</xdr:colOff>
      <xdr:row>23</xdr:row>
      <xdr:rowOff>115887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CD30FF9-CF69-793A-5E4B-4AE8DEDE8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8</xdr:row>
      <xdr:rowOff>169862</xdr:rowOff>
    </xdr:from>
    <xdr:to>
      <xdr:col>11</xdr:col>
      <xdr:colOff>463550</xdr:colOff>
      <xdr:row>24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A1FA449-2DCE-B902-9E8B-DDB267048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zoomScale="99" workbookViewId="0">
      <selection activeCell="G7" sqref="G7:H7"/>
    </sheetView>
  </sheetViews>
  <sheetFormatPr defaultRowHeight="15"/>
  <cols>
    <col min="1" max="1" width="15.5703125" bestFit="1" customWidth="1"/>
    <col min="2" max="2" width="14.7109375" bestFit="1" customWidth="1"/>
    <col min="3" max="3" width="16.7109375" bestFit="1" customWidth="1"/>
    <col min="4" max="4" width="17.85546875" bestFit="1" customWidth="1"/>
    <col min="5" max="5" width="16.5703125" bestFit="1" customWidth="1"/>
    <col min="7" max="7" width="14.42578125" bestFit="1" customWidth="1"/>
    <col min="11" max="11" width="14.7109375" bestFit="1" customWidth="1"/>
    <col min="12" max="12" width="12" bestFit="1" customWidth="1"/>
  </cols>
  <sheetData>
    <row r="1" spans="1:15">
      <c r="A1" s="17" t="s">
        <v>6</v>
      </c>
      <c r="B1" s="17"/>
      <c r="C1" s="17"/>
      <c r="D1" s="17"/>
      <c r="E1" s="1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8" t="s">
        <v>0</v>
      </c>
      <c r="B2" s="8" t="s">
        <v>3</v>
      </c>
      <c r="C2" s="8" t="s">
        <v>33</v>
      </c>
      <c r="D2" s="8" t="s">
        <v>2</v>
      </c>
      <c r="E2" s="8" t="s">
        <v>4</v>
      </c>
      <c r="F2" s="7"/>
      <c r="G2" s="7"/>
      <c r="H2" s="7"/>
      <c r="I2" s="7"/>
      <c r="J2" s="7"/>
      <c r="K2" s="7"/>
      <c r="L2" s="9" t="s">
        <v>30</v>
      </c>
      <c r="M2" s="9" t="s">
        <v>31</v>
      </c>
      <c r="N2" s="9" t="s">
        <v>32</v>
      </c>
      <c r="O2" s="7"/>
    </row>
    <row r="3" spans="1:15">
      <c r="A3" s="8">
        <v>50</v>
      </c>
      <c r="B3" s="10">
        <f t="shared" ref="B3:B24" si="0">H$3/A3</f>
        <v>20</v>
      </c>
      <c r="C3" s="11">
        <f t="shared" ref="C3:C24" si="1">B3*H$4</f>
        <v>300</v>
      </c>
      <c r="D3" s="8">
        <f t="shared" ref="D3:D24" si="2">A3/2*H$5</f>
        <v>16.25</v>
      </c>
      <c r="E3" s="11">
        <f>C3+D3</f>
        <v>316.25</v>
      </c>
      <c r="F3" s="7"/>
      <c r="G3" s="9" t="s">
        <v>30</v>
      </c>
      <c r="H3" s="8">
        <f>VLOOKUP(A1,K2:N5,2,FALSE)</f>
        <v>1000</v>
      </c>
      <c r="I3" s="7"/>
      <c r="J3" s="7"/>
      <c r="K3" s="8" t="s">
        <v>29</v>
      </c>
      <c r="L3" s="12">
        <v>15000</v>
      </c>
      <c r="M3" s="12">
        <v>15</v>
      </c>
      <c r="N3" s="13">
        <v>0.5</v>
      </c>
      <c r="O3" s="7"/>
    </row>
    <row r="4" spans="1:15">
      <c r="A4" s="8">
        <f>A3+50</f>
        <v>100</v>
      </c>
      <c r="B4" s="10">
        <f t="shared" si="0"/>
        <v>10</v>
      </c>
      <c r="C4" s="11">
        <f t="shared" si="1"/>
        <v>150</v>
      </c>
      <c r="D4" s="8">
        <f t="shared" si="2"/>
        <v>32.5</v>
      </c>
      <c r="E4" s="11">
        <f t="shared" ref="E4:E22" si="3">C4+D4</f>
        <v>182.5</v>
      </c>
      <c r="F4" s="7"/>
      <c r="G4" s="9" t="s">
        <v>31</v>
      </c>
      <c r="H4" s="8">
        <f>VLOOKUP(A1,K2:N5,3,FALSE)</f>
        <v>15</v>
      </c>
      <c r="I4" s="7"/>
      <c r="J4" s="7"/>
      <c r="K4" s="8" t="s">
        <v>6</v>
      </c>
      <c r="L4" s="8">
        <v>1000</v>
      </c>
      <c r="M4" s="8">
        <v>15</v>
      </c>
      <c r="N4" s="14">
        <v>0.65</v>
      </c>
      <c r="O4" s="7"/>
    </row>
    <row r="5" spans="1:15">
      <c r="A5" s="8">
        <f t="shared" ref="A5:A22" si="4">A4+50</f>
        <v>150</v>
      </c>
      <c r="B5" s="10">
        <f t="shared" si="0"/>
        <v>6.666666666666667</v>
      </c>
      <c r="C5" s="11">
        <f>B5*H$4</f>
        <v>100</v>
      </c>
      <c r="D5" s="8">
        <f t="shared" si="2"/>
        <v>48.75</v>
      </c>
      <c r="E5" s="11">
        <f t="shared" si="3"/>
        <v>148.75</v>
      </c>
      <c r="F5" s="7"/>
      <c r="G5" s="9" t="s">
        <v>32</v>
      </c>
      <c r="H5" s="8">
        <f>VLOOKUP(A1,K2:N5,4,FALSE)</f>
        <v>0.65</v>
      </c>
      <c r="I5" s="7"/>
      <c r="J5" s="7"/>
      <c r="K5" s="8" t="s">
        <v>7</v>
      </c>
      <c r="L5" s="8">
        <v>1500</v>
      </c>
      <c r="M5" s="8">
        <v>15</v>
      </c>
      <c r="N5" s="15">
        <v>0.9</v>
      </c>
      <c r="O5" s="7"/>
    </row>
    <row r="6" spans="1:15">
      <c r="A6" s="8">
        <f t="shared" si="4"/>
        <v>200</v>
      </c>
      <c r="B6" s="10">
        <f t="shared" si="0"/>
        <v>5</v>
      </c>
      <c r="C6" s="11">
        <f t="shared" si="1"/>
        <v>75</v>
      </c>
      <c r="D6" s="8">
        <f t="shared" si="2"/>
        <v>65</v>
      </c>
      <c r="E6" s="11">
        <f t="shared" si="3"/>
        <v>140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>
      <c r="A7" s="8">
        <f t="shared" si="4"/>
        <v>250</v>
      </c>
      <c r="B7" s="10">
        <f t="shared" si="0"/>
        <v>4</v>
      </c>
      <c r="C7" s="11">
        <f t="shared" si="1"/>
        <v>60</v>
      </c>
      <c r="D7" s="8">
        <f t="shared" si="2"/>
        <v>81.25</v>
      </c>
      <c r="E7" s="11">
        <f t="shared" si="3"/>
        <v>141.25</v>
      </c>
      <c r="F7" s="7"/>
      <c r="G7" s="16" t="s">
        <v>5</v>
      </c>
      <c r="H7" s="16">
        <f>SQRT(2*H3*H4/H5)</f>
        <v>214.83446221182984</v>
      </c>
      <c r="I7" s="7"/>
      <c r="J7" s="7"/>
      <c r="K7" s="7"/>
      <c r="L7" s="7"/>
      <c r="M7" s="7"/>
      <c r="N7" s="7"/>
      <c r="O7" s="7"/>
    </row>
    <row r="8" spans="1:15">
      <c r="A8" s="8">
        <f t="shared" si="4"/>
        <v>300</v>
      </c>
      <c r="B8" s="10">
        <f t="shared" si="0"/>
        <v>3.3333333333333335</v>
      </c>
      <c r="C8" s="11">
        <f t="shared" si="1"/>
        <v>50</v>
      </c>
      <c r="D8" s="8">
        <f t="shared" si="2"/>
        <v>97.5</v>
      </c>
      <c r="E8" s="11">
        <f t="shared" si="3"/>
        <v>147.5</v>
      </c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>
      <c r="A9" s="8">
        <f t="shared" si="4"/>
        <v>350</v>
      </c>
      <c r="B9" s="10">
        <f t="shared" si="0"/>
        <v>2.8571428571428572</v>
      </c>
      <c r="C9" s="11">
        <f t="shared" si="1"/>
        <v>42.857142857142861</v>
      </c>
      <c r="D9" s="8">
        <f t="shared" si="2"/>
        <v>113.75</v>
      </c>
      <c r="E9" s="11">
        <f t="shared" si="3"/>
        <v>156.60714285714286</v>
      </c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>
      <c r="A10" s="8">
        <f t="shared" si="4"/>
        <v>400</v>
      </c>
      <c r="B10" s="10">
        <f t="shared" si="0"/>
        <v>2.5</v>
      </c>
      <c r="C10" s="11">
        <f t="shared" si="1"/>
        <v>37.5</v>
      </c>
      <c r="D10" s="8">
        <f t="shared" si="2"/>
        <v>130</v>
      </c>
      <c r="E10" s="11">
        <f t="shared" si="3"/>
        <v>167.5</v>
      </c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>
      <c r="A11" s="8">
        <f t="shared" si="4"/>
        <v>450</v>
      </c>
      <c r="B11" s="10">
        <f t="shared" si="0"/>
        <v>2.2222222222222223</v>
      </c>
      <c r="C11" s="11">
        <f t="shared" si="1"/>
        <v>33.333333333333336</v>
      </c>
      <c r="D11" s="8">
        <f t="shared" si="2"/>
        <v>146.25</v>
      </c>
      <c r="E11" s="11">
        <f t="shared" si="3"/>
        <v>179.58333333333334</v>
      </c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>
      <c r="A12" s="8">
        <f t="shared" si="4"/>
        <v>500</v>
      </c>
      <c r="B12" s="10">
        <f t="shared" si="0"/>
        <v>2</v>
      </c>
      <c r="C12" s="11">
        <f t="shared" si="1"/>
        <v>30</v>
      </c>
      <c r="D12" s="8">
        <f t="shared" si="2"/>
        <v>162.5</v>
      </c>
      <c r="E12" s="11">
        <f t="shared" si="3"/>
        <v>192.5</v>
      </c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>
      <c r="A13" s="8">
        <f t="shared" si="4"/>
        <v>550</v>
      </c>
      <c r="B13" s="10">
        <f t="shared" si="0"/>
        <v>1.8181818181818181</v>
      </c>
      <c r="C13" s="11">
        <f t="shared" si="1"/>
        <v>27.272727272727273</v>
      </c>
      <c r="D13" s="8">
        <f t="shared" si="2"/>
        <v>178.75</v>
      </c>
      <c r="E13" s="11">
        <f t="shared" si="3"/>
        <v>206.02272727272728</v>
      </c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A14" s="8">
        <f t="shared" si="4"/>
        <v>600</v>
      </c>
      <c r="B14" s="10">
        <f t="shared" si="0"/>
        <v>1.6666666666666667</v>
      </c>
      <c r="C14" s="11">
        <f t="shared" si="1"/>
        <v>25</v>
      </c>
      <c r="D14" s="8">
        <f t="shared" si="2"/>
        <v>195</v>
      </c>
      <c r="E14" s="11">
        <f t="shared" si="3"/>
        <v>220</v>
      </c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8">
        <f t="shared" si="4"/>
        <v>650</v>
      </c>
      <c r="B15" s="10">
        <f t="shared" si="0"/>
        <v>1.5384615384615385</v>
      </c>
      <c r="C15" s="11">
        <f t="shared" si="1"/>
        <v>23.076923076923077</v>
      </c>
      <c r="D15" s="8">
        <f t="shared" si="2"/>
        <v>211.25</v>
      </c>
      <c r="E15" s="11">
        <f t="shared" si="3"/>
        <v>234.32692307692307</v>
      </c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8">
        <f t="shared" si="4"/>
        <v>700</v>
      </c>
      <c r="B16" s="10">
        <f t="shared" si="0"/>
        <v>1.4285714285714286</v>
      </c>
      <c r="C16" s="11">
        <f t="shared" si="1"/>
        <v>21.428571428571431</v>
      </c>
      <c r="D16" s="8">
        <f t="shared" si="2"/>
        <v>227.5</v>
      </c>
      <c r="E16" s="11">
        <f t="shared" si="3"/>
        <v>248.92857142857144</v>
      </c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>
      <c r="A17" s="8">
        <f t="shared" si="4"/>
        <v>750</v>
      </c>
      <c r="B17" s="10">
        <f t="shared" si="0"/>
        <v>1.3333333333333333</v>
      </c>
      <c r="C17" s="11">
        <f t="shared" si="1"/>
        <v>20</v>
      </c>
      <c r="D17" s="8">
        <f t="shared" si="2"/>
        <v>243.75</v>
      </c>
      <c r="E17" s="11">
        <f t="shared" si="3"/>
        <v>263.75</v>
      </c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>
      <c r="A18" s="8">
        <f t="shared" si="4"/>
        <v>800</v>
      </c>
      <c r="B18" s="10">
        <f t="shared" si="0"/>
        <v>1.25</v>
      </c>
      <c r="C18" s="11">
        <f t="shared" si="1"/>
        <v>18.75</v>
      </c>
      <c r="D18" s="8">
        <f t="shared" si="2"/>
        <v>260</v>
      </c>
      <c r="E18" s="11">
        <f t="shared" si="3"/>
        <v>278.75</v>
      </c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8">
        <f t="shared" si="4"/>
        <v>850</v>
      </c>
      <c r="B19" s="10">
        <f t="shared" si="0"/>
        <v>1.1764705882352942</v>
      </c>
      <c r="C19" s="11">
        <f t="shared" si="1"/>
        <v>17.647058823529413</v>
      </c>
      <c r="D19" s="8">
        <f t="shared" si="2"/>
        <v>276.25</v>
      </c>
      <c r="E19" s="11">
        <f t="shared" si="3"/>
        <v>293.89705882352939</v>
      </c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>
      <c r="A20" s="8">
        <f t="shared" si="4"/>
        <v>900</v>
      </c>
      <c r="B20" s="10">
        <f t="shared" si="0"/>
        <v>1.1111111111111112</v>
      </c>
      <c r="C20" s="11">
        <f t="shared" si="1"/>
        <v>16.666666666666668</v>
      </c>
      <c r="D20" s="8">
        <f t="shared" si="2"/>
        <v>292.5</v>
      </c>
      <c r="E20" s="11">
        <f t="shared" si="3"/>
        <v>309.16666666666669</v>
      </c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>
      <c r="A21" s="8">
        <f t="shared" si="4"/>
        <v>950</v>
      </c>
      <c r="B21" s="10">
        <f t="shared" si="0"/>
        <v>1.0526315789473684</v>
      </c>
      <c r="C21" s="11">
        <f t="shared" si="1"/>
        <v>15.789473684210526</v>
      </c>
      <c r="D21" s="8">
        <f t="shared" si="2"/>
        <v>308.75</v>
      </c>
      <c r="E21" s="11">
        <f t="shared" si="3"/>
        <v>324.53947368421052</v>
      </c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>
      <c r="A22" s="8">
        <f t="shared" si="4"/>
        <v>1000</v>
      </c>
      <c r="B22" s="10">
        <f t="shared" si="0"/>
        <v>1</v>
      </c>
      <c r="C22" s="11">
        <f t="shared" si="1"/>
        <v>15</v>
      </c>
      <c r="D22" s="8">
        <f t="shared" si="2"/>
        <v>325</v>
      </c>
      <c r="E22" s="11">
        <f t="shared" si="3"/>
        <v>340</v>
      </c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>
      <c r="A23" s="8">
        <f>A22+50</f>
        <v>1050</v>
      </c>
      <c r="B23" s="10">
        <f t="shared" si="0"/>
        <v>0.95238095238095233</v>
      </c>
      <c r="C23" s="11">
        <f t="shared" si="1"/>
        <v>14.285714285714285</v>
      </c>
      <c r="D23" s="8">
        <f t="shared" si="2"/>
        <v>341.25</v>
      </c>
      <c r="E23" s="11">
        <f t="shared" ref="E23" si="5">C23+D23</f>
        <v>355.53571428571428</v>
      </c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>
      <c r="A24" s="8">
        <f>A23+50</f>
        <v>1100</v>
      </c>
      <c r="B24" s="10">
        <f t="shared" si="0"/>
        <v>0.90909090909090906</v>
      </c>
      <c r="C24" s="11">
        <f t="shared" si="1"/>
        <v>13.636363636363637</v>
      </c>
      <c r="D24" s="8">
        <f t="shared" si="2"/>
        <v>357.5</v>
      </c>
      <c r="E24" s="11">
        <f t="shared" ref="E24" si="6">C24+D24</f>
        <v>371.13636363636363</v>
      </c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>
      <c r="A25" s="8">
        <f t="shared" ref="A25:A29" si="7">A24+50</f>
        <v>1150</v>
      </c>
      <c r="B25" s="10">
        <f t="shared" ref="B25:B29" si="8">H$3/A25</f>
        <v>0.86956521739130432</v>
      </c>
      <c r="C25" s="11">
        <f t="shared" ref="C25:C29" si="9">B25*H$4</f>
        <v>13.043478260869565</v>
      </c>
      <c r="D25" s="8">
        <f t="shared" ref="D25:D29" si="10">A25/2*H$5</f>
        <v>373.75</v>
      </c>
      <c r="E25" s="11">
        <f t="shared" ref="E25:E29" si="11">C25+D25</f>
        <v>386.79347826086956</v>
      </c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>
      <c r="A26" s="8">
        <f t="shared" si="7"/>
        <v>1200</v>
      </c>
      <c r="B26" s="10">
        <f t="shared" si="8"/>
        <v>0.83333333333333337</v>
      </c>
      <c r="C26" s="11">
        <f t="shared" si="9"/>
        <v>12.5</v>
      </c>
      <c r="D26" s="8">
        <f t="shared" si="10"/>
        <v>390</v>
      </c>
      <c r="E26" s="11">
        <f t="shared" si="11"/>
        <v>402.5</v>
      </c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>
      <c r="A27" s="8">
        <f t="shared" si="7"/>
        <v>1250</v>
      </c>
      <c r="B27" s="10">
        <f t="shared" si="8"/>
        <v>0.8</v>
      </c>
      <c r="C27" s="11">
        <f t="shared" si="9"/>
        <v>12</v>
      </c>
      <c r="D27" s="8">
        <f t="shared" si="10"/>
        <v>406.25</v>
      </c>
      <c r="E27" s="11">
        <f t="shared" si="11"/>
        <v>418.25</v>
      </c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>
      <c r="A28" s="8">
        <f t="shared" si="7"/>
        <v>1300</v>
      </c>
      <c r="B28" s="10">
        <f t="shared" si="8"/>
        <v>0.76923076923076927</v>
      </c>
      <c r="C28" s="11">
        <f t="shared" si="9"/>
        <v>11.538461538461538</v>
      </c>
      <c r="D28" s="8">
        <f t="shared" si="10"/>
        <v>422.5</v>
      </c>
      <c r="E28" s="11">
        <f t="shared" si="11"/>
        <v>434.03846153846155</v>
      </c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>
      <c r="A29" s="8">
        <f t="shared" si="7"/>
        <v>1350</v>
      </c>
      <c r="B29" s="10">
        <f t="shared" si="8"/>
        <v>0.7407407407407407</v>
      </c>
      <c r="C29" s="11">
        <f t="shared" si="9"/>
        <v>11.111111111111111</v>
      </c>
      <c r="D29" s="8">
        <f t="shared" si="10"/>
        <v>438.75</v>
      </c>
      <c r="E29" s="11">
        <f t="shared" si="11"/>
        <v>449.86111111111109</v>
      </c>
      <c r="F29" s="7"/>
      <c r="G29" s="7"/>
      <c r="H29" s="7"/>
      <c r="I29" s="7"/>
      <c r="J29" s="7"/>
      <c r="K29" s="7"/>
      <c r="L29" s="7"/>
      <c r="M29" s="7"/>
      <c r="N29" s="7"/>
      <c r="O29" s="7"/>
    </row>
  </sheetData>
  <mergeCells count="1">
    <mergeCell ref="A1:E1"/>
  </mergeCells>
  <conditionalFormatting sqref="E3:E22">
    <cfRule type="cellIs" dxfId="10" priority="9" operator="notBetween">
      <formula>E3</formula>
      <formula>E5</formula>
    </cfRule>
  </conditionalFormatting>
  <conditionalFormatting sqref="A3:E29">
    <cfRule type="expression" dxfId="9" priority="4">
      <formula>"AND(E4&lt;=e3,e4&gt;e5)"</formula>
    </cfRule>
  </conditionalFormatting>
  <conditionalFormatting sqref="E12">
    <cfRule type="expression" priority="3">
      <formula>AND(E12&lt;=E11,E12&lt;E13)</formula>
    </cfRule>
  </conditionalFormatting>
  <conditionalFormatting sqref="E4:E23">
    <cfRule type="expression" dxfId="8" priority="1">
      <formula>AND(E4&lt;=E3,E4&lt;E5)</formula>
    </cfRule>
    <cfRule type="expression" priority="2">
      <formula>AND(E4&lt;=E3,E4&lt;E5)</formula>
    </cfRule>
  </conditionalFormatting>
  <conditionalFormatting sqref="E23:E29">
    <cfRule type="cellIs" dxfId="7" priority="11" operator="notBetween">
      <formula>E23</formula>
      <formula>#REF!</formula>
    </cfRule>
  </conditionalFormatting>
  <conditionalFormatting sqref="E24:E29">
    <cfRule type="expression" dxfId="6" priority="14">
      <formula>AND(E24&lt;=E23,E24&lt;#REF!)</formula>
    </cfRule>
    <cfRule type="expression" priority="15">
      <formula>AND(E24&lt;=E23,E24&lt;#REF!)</formula>
    </cfRule>
  </conditionalFormatting>
  <dataValidations count="1">
    <dataValidation type="list" allowBlank="1" showInputMessage="1" showErrorMessage="1" sqref="A1:E1">
      <formula1>$K$3:$K$5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B24" sqref="B24"/>
    </sheetView>
  </sheetViews>
  <sheetFormatPr defaultRowHeight="15"/>
  <cols>
    <col min="1" max="1" width="16.85546875" bestFit="1" customWidth="1"/>
    <col min="2" max="2" width="14" bestFit="1" customWidth="1"/>
    <col min="3" max="3" width="10.85546875" bestFit="1" customWidth="1"/>
    <col min="4" max="4" width="17.85546875" bestFit="1" customWidth="1"/>
    <col min="5" max="5" width="16.42578125" bestFit="1" customWidth="1"/>
    <col min="6" max="6" width="11.85546875" bestFit="1" customWidth="1"/>
    <col min="7" max="7" width="13.5703125" bestFit="1" customWidth="1"/>
  </cols>
  <sheetData>
    <row r="1" spans="1:11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17</v>
      </c>
      <c r="G1" s="2"/>
      <c r="H1" s="2"/>
      <c r="I1" s="2"/>
    </row>
    <row r="2" spans="1:11">
      <c r="A2" s="1">
        <v>10</v>
      </c>
      <c r="B2" s="1">
        <f>H$3/A2</f>
        <v>120</v>
      </c>
      <c r="C2" s="1">
        <f>B2*H$4</f>
        <v>12000</v>
      </c>
      <c r="D2" s="1">
        <f>A2/2*H$5</f>
        <v>100</v>
      </c>
      <c r="E2" s="1">
        <f>C2+D2</f>
        <v>12100</v>
      </c>
      <c r="F2" s="1">
        <f>E2+H$3*H$6</f>
        <v>1212100</v>
      </c>
      <c r="G2" s="3" t="s">
        <v>5</v>
      </c>
      <c r="H2" s="4">
        <f>SQRT(2*H3*H4/H5)</f>
        <v>109.54451150103323</v>
      </c>
      <c r="I2" s="2"/>
    </row>
    <row r="3" spans="1:11">
      <c r="A3" s="1">
        <f>A2+10</f>
        <v>20</v>
      </c>
      <c r="B3" s="1">
        <f t="shared" ref="B3:B22" si="0">H$3/A3</f>
        <v>60</v>
      </c>
      <c r="C3" s="1">
        <f t="shared" ref="C3:C22" si="1">B3*H$4</f>
        <v>6000</v>
      </c>
      <c r="D3" s="1">
        <f t="shared" ref="D3:D22" si="2">A3/2*H$5</f>
        <v>200</v>
      </c>
      <c r="E3" s="1">
        <f t="shared" ref="E3:E22" si="3">C3+D3</f>
        <v>6200</v>
      </c>
      <c r="F3" s="1">
        <f t="shared" ref="F3:F22" si="4">E3+H$3*H$6</f>
        <v>1206200</v>
      </c>
      <c r="G3" s="3" t="s">
        <v>20</v>
      </c>
      <c r="H3" s="4">
        <v>1200</v>
      </c>
      <c r="I3" s="2"/>
    </row>
    <row r="4" spans="1:11">
      <c r="A4" s="1">
        <f t="shared" ref="A4:A22" si="5">A3+10</f>
        <v>30</v>
      </c>
      <c r="B4" s="1">
        <f t="shared" si="0"/>
        <v>40</v>
      </c>
      <c r="C4" s="1">
        <f t="shared" si="1"/>
        <v>4000</v>
      </c>
      <c r="D4" s="1">
        <f t="shared" si="2"/>
        <v>300</v>
      </c>
      <c r="E4" s="1">
        <f t="shared" si="3"/>
        <v>4300</v>
      </c>
      <c r="F4" s="1">
        <f t="shared" si="4"/>
        <v>1204300</v>
      </c>
      <c r="G4" s="3" t="s">
        <v>21</v>
      </c>
      <c r="H4" s="4">
        <v>100</v>
      </c>
      <c r="I4" s="2"/>
    </row>
    <row r="5" spans="1:11">
      <c r="A5" s="1">
        <f t="shared" si="5"/>
        <v>40</v>
      </c>
      <c r="B5" s="1">
        <f t="shared" si="0"/>
        <v>30</v>
      </c>
      <c r="C5" s="1">
        <f t="shared" si="1"/>
        <v>3000</v>
      </c>
      <c r="D5" s="1">
        <f t="shared" si="2"/>
        <v>400</v>
      </c>
      <c r="E5" s="1">
        <f t="shared" si="3"/>
        <v>3400</v>
      </c>
      <c r="F5" s="1">
        <f t="shared" si="4"/>
        <v>1203400</v>
      </c>
      <c r="G5" s="3" t="s">
        <v>22</v>
      </c>
      <c r="H5" s="4">
        <v>20</v>
      </c>
      <c r="I5" s="2"/>
      <c r="J5" t="s">
        <v>23</v>
      </c>
      <c r="K5">
        <v>1250</v>
      </c>
    </row>
    <row r="6" spans="1:11">
      <c r="A6" s="1">
        <f t="shared" si="5"/>
        <v>50</v>
      </c>
      <c r="B6" s="1">
        <f t="shared" si="0"/>
        <v>24</v>
      </c>
      <c r="C6" s="1">
        <f t="shared" si="1"/>
        <v>2400</v>
      </c>
      <c r="D6" s="1">
        <f t="shared" si="2"/>
        <v>500</v>
      </c>
      <c r="E6" s="1">
        <f t="shared" si="3"/>
        <v>2900</v>
      </c>
      <c r="F6" s="1">
        <f t="shared" si="4"/>
        <v>1202900</v>
      </c>
      <c r="G6" s="5" t="s">
        <v>28</v>
      </c>
      <c r="H6" s="6">
        <f>IF(H2&lt;50,K5,IF(H2&lt;79,K6,IF(H2&lt;99,K7,K8)))</f>
        <v>1000</v>
      </c>
      <c r="I6" s="2"/>
      <c r="J6" t="s">
        <v>24</v>
      </c>
      <c r="K6">
        <v>1150</v>
      </c>
    </row>
    <row r="7" spans="1:11">
      <c r="A7" s="1">
        <f t="shared" si="5"/>
        <v>60</v>
      </c>
      <c r="B7" s="1">
        <f t="shared" si="0"/>
        <v>20</v>
      </c>
      <c r="C7" s="1">
        <f t="shared" si="1"/>
        <v>2000</v>
      </c>
      <c r="D7" s="1">
        <f t="shared" si="2"/>
        <v>600</v>
      </c>
      <c r="E7" s="1">
        <f t="shared" si="3"/>
        <v>2600</v>
      </c>
      <c r="F7" s="1">
        <f t="shared" si="4"/>
        <v>1202600</v>
      </c>
      <c r="G7" s="2"/>
      <c r="H7" s="2"/>
      <c r="I7" s="2"/>
      <c r="J7" t="s">
        <v>25</v>
      </c>
      <c r="K7">
        <v>1050</v>
      </c>
    </row>
    <row r="8" spans="1:11">
      <c r="A8" s="1">
        <f t="shared" si="5"/>
        <v>70</v>
      </c>
      <c r="B8" s="1">
        <f t="shared" si="0"/>
        <v>17.142857142857142</v>
      </c>
      <c r="C8" s="1">
        <f t="shared" si="1"/>
        <v>1714.2857142857142</v>
      </c>
      <c r="D8" s="1">
        <f t="shared" si="2"/>
        <v>700</v>
      </c>
      <c r="E8" s="1">
        <f t="shared" si="3"/>
        <v>2414.2857142857142</v>
      </c>
      <c r="F8" s="1">
        <f t="shared" si="4"/>
        <v>1202414.2857142857</v>
      </c>
      <c r="G8" s="2"/>
      <c r="H8" s="2"/>
      <c r="I8" s="2"/>
      <c r="J8" t="s">
        <v>26</v>
      </c>
      <c r="K8">
        <v>1000</v>
      </c>
    </row>
    <row r="9" spans="1:11">
      <c r="A9" s="1">
        <f t="shared" si="5"/>
        <v>80</v>
      </c>
      <c r="B9" s="1">
        <f t="shared" si="0"/>
        <v>15</v>
      </c>
      <c r="C9" s="1">
        <f t="shared" si="1"/>
        <v>1500</v>
      </c>
      <c r="D9" s="1">
        <f t="shared" si="2"/>
        <v>800</v>
      </c>
      <c r="E9" s="1">
        <f t="shared" si="3"/>
        <v>2300</v>
      </c>
      <c r="F9" s="1">
        <f t="shared" si="4"/>
        <v>1202300</v>
      </c>
      <c r="G9" s="2"/>
      <c r="H9" s="2"/>
      <c r="I9" s="2"/>
    </row>
    <row r="10" spans="1:11">
      <c r="A10" s="1">
        <f t="shared" si="5"/>
        <v>90</v>
      </c>
      <c r="B10" s="1">
        <f t="shared" si="0"/>
        <v>13.333333333333334</v>
      </c>
      <c r="C10" s="1">
        <f t="shared" si="1"/>
        <v>1333.3333333333335</v>
      </c>
      <c r="D10" s="1">
        <f t="shared" si="2"/>
        <v>900</v>
      </c>
      <c r="E10" s="1">
        <f t="shared" si="3"/>
        <v>2233.3333333333335</v>
      </c>
      <c r="F10" s="1">
        <f t="shared" si="4"/>
        <v>1202233.3333333333</v>
      </c>
      <c r="G10" s="2"/>
      <c r="H10" s="2"/>
      <c r="I10" s="2"/>
    </row>
    <row r="11" spans="1:11">
      <c r="A11" s="1">
        <f t="shared" si="5"/>
        <v>100</v>
      </c>
      <c r="B11" s="1">
        <f t="shared" si="0"/>
        <v>12</v>
      </c>
      <c r="C11" s="1">
        <f t="shared" si="1"/>
        <v>1200</v>
      </c>
      <c r="D11" s="1">
        <f t="shared" si="2"/>
        <v>1000</v>
      </c>
      <c r="E11" s="1">
        <f t="shared" si="3"/>
        <v>2200</v>
      </c>
      <c r="F11" s="1">
        <f t="shared" si="4"/>
        <v>1202200</v>
      </c>
      <c r="G11" s="2"/>
      <c r="H11" s="2"/>
      <c r="I11" s="2"/>
    </row>
    <row r="12" spans="1:11">
      <c r="A12" s="1">
        <f t="shared" si="5"/>
        <v>110</v>
      </c>
      <c r="B12" s="1">
        <f t="shared" si="0"/>
        <v>10.909090909090908</v>
      </c>
      <c r="C12" s="1">
        <f t="shared" si="1"/>
        <v>1090.9090909090908</v>
      </c>
      <c r="D12" s="1">
        <f t="shared" si="2"/>
        <v>1100</v>
      </c>
      <c r="E12" s="1">
        <f t="shared" si="3"/>
        <v>2190.909090909091</v>
      </c>
      <c r="F12" s="1">
        <f t="shared" si="4"/>
        <v>1202190.9090909092</v>
      </c>
      <c r="G12" s="2"/>
      <c r="H12" s="2"/>
      <c r="I12" s="2"/>
    </row>
    <row r="13" spans="1:11">
      <c r="A13" s="1">
        <f t="shared" si="5"/>
        <v>120</v>
      </c>
      <c r="B13" s="1">
        <f t="shared" si="0"/>
        <v>10</v>
      </c>
      <c r="C13" s="1">
        <f t="shared" si="1"/>
        <v>1000</v>
      </c>
      <c r="D13" s="1">
        <f t="shared" si="2"/>
        <v>1200</v>
      </c>
      <c r="E13" s="1">
        <f t="shared" si="3"/>
        <v>2200</v>
      </c>
      <c r="F13" s="1">
        <f t="shared" si="4"/>
        <v>1202200</v>
      </c>
      <c r="G13" s="2"/>
      <c r="H13" s="2"/>
      <c r="I13" s="2"/>
    </row>
    <row r="14" spans="1:11">
      <c r="A14" s="1">
        <f t="shared" si="5"/>
        <v>130</v>
      </c>
      <c r="B14" s="1">
        <f t="shared" si="0"/>
        <v>9.2307692307692299</v>
      </c>
      <c r="C14" s="1">
        <f t="shared" si="1"/>
        <v>923.07692307692298</v>
      </c>
      <c r="D14" s="1">
        <f t="shared" si="2"/>
        <v>1300</v>
      </c>
      <c r="E14" s="1">
        <f t="shared" si="3"/>
        <v>2223.0769230769229</v>
      </c>
      <c r="F14" s="1">
        <f t="shared" si="4"/>
        <v>1202223.076923077</v>
      </c>
      <c r="G14" s="2"/>
      <c r="H14" s="2"/>
      <c r="I14" s="2"/>
    </row>
    <row r="15" spans="1:11">
      <c r="A15" s="1">
        <f t="shared" si="5"/>
        <v>140</v>
      </c>
      <c r="B15" s="1">
        <f t="shared" si="0"/>
        <v>8.5714285714285712</v>
      </c>
      <c r="C15" s="1">
        <f t="shared" si="1"/>
        <v>857.14285714285711</v>
      </c>
      <c r="D15" s="1">
        <f t="shared" si="2"/>
        <v>1400</v>
      </c>
      <c r="E15" s="1">
        <f t="shared" si="3"/>
        <v>2257.1428571428569</v>
      </c>
      <c r="F15" s="1">
        <f t="shared" si="4"/>
        <v>1202257.142857143</v>
      </c>
      <c r="G15" s="2"/>
      <c r="H15" s="2"/>
      <c r="I15" s="2"/>
    </row>
    <row r="16" spans="1:11">
      <c r="A16" s="1">
        <f t="shared" si="5"/>
        <v>150</v>
      </c>
      <c r="B16" s="1">
        <f t="shared" si="0"/>
        <v>8</v>
      </c>
      <c r="C16" s="1">
        <f t="shared" si="1"/>
        <v>800</v>
      </c>
      <c r="D16" s="1">
        <f t="shared" si="2"/>
        <v>1500</v>
      </c>
      <c r="E16" s="1">
        <f t="shared" si="3"/>
        <v>2300</v>
      </c>
      <c r="F16" s="1">
        <f t="shared" si="4"/>
        <v>1202300</v>
      </c>
      <c r="G16" s="2"/>
      <c r="H16" s="2"/>
      <c r="I16" s="2"/>
    </row>
    <row r="17" spans="1:9">
      <c r="A17" s="1">
        <f t="shared" si="5"/>
        <v>160</v>
      </c>
      <c r="B17" s="1">
        <f t="shared" si="0"/>
        <v>7.5</v>
      </c>
      <c r="C17" s="1">
        <f t="shared" si="1"/>
        <v>750</v>
      </c>
      <c r="D17" s="1">
        <f t="shared" si="2"/>
        <v>1600</v>
      </c>
      <c r="E17" s="1">
        <f t="shared" si="3"/>
        <v>2350</v>
      </c>
      <c r="F17" s="1">
        <f t="shared" si="4"/>
        <v>1202350</v>
      </c>
      <c r="G17" s="2"/>
      <c r="H17" s="2"/>
      <c r="I17" s="2"/>
    </row>
    <row r="18" spans="1:9">
      <c r="A18" s="1">
        <f t="shared" si="5"/>
        <v>170</v>
      </c>
      <c r="B18" s="1">
        <f t="shared" si="0"/>
        <v>7.0588235294117645</v>
      </c>
      <c r="C18" s="1">
        <f t="shared" si="1"/>
        <v>705.88235294117646</v>
      </c>
      <c r="D18" s="1">
        <f t="shared" si="2"/>
        <v>1700</v>
      </c>
      <c r="E18" s="1">
        <f t="shared" si="3"/>
        <v>2405.8823529411766</v>
      </c>
      <c r="F18" s="1">
        <f t="shared" si="4"/>
        <v>1202405.8823529412</v>
      </c>
      <c r="G18" s="2"/>
      <c r="H18" s="2"/>
      <c r="I18" s="2"/>
    </row>
    <row r="19" spans="1:9">
      <c r="A19" s="1">
        <f t="shared" si="5"/>
        <v>180</v>
      </c>
      <c r="B19" s="1">
        <f t="shared" si="0"/>
        <v>6.666666666666667</v>
      </c>
      <c r="C19" s="1">
        <f t="shared" si="1"/>
        <v>666.66666666666674</v>
      </c>
      <c r="D19" s="1">
        <f t="shared" si="2"/>
        <v>1800</v>
      </c>
      <c r="E19" s="1">
        <f t="shared" si="3"/>
        <v>2466.666666666667</v>
      </c>
      <c r="F19" s="1">
        <f t="shared" si="4"/>
        <v>1202466.6666666667</v>
      </c>
      <c r="G19" s="2"/>
      <c r="H19" s="2"/>
      <c r="I19" s="2"/>
    </row>
    <row r="20" spans="1:9">
      <c r="A20" s="1">
        <f t="shared" si="5"/>
        <v>190</v>
      </c>
      <c r="B20" s="1">
        <f t="shared" si="0"/>
        <v>6.3157894736842106</v>
      </c>
      <c r="C20" s="1">
        <f t="shared" si="1"/>
        <v>631.57894736842104</v>
      </c>
      <c r="D20" s="1">
        <f t="shared" si="2"/>
        <v>1900</v>
      </c>
      <c r="E20" s="1">
        <f t="shared" si="3"/>
        <v>2531.5789473684208</v>
      </c>
      <c r="F20" s="1">
        <f t="shared" si="4"/>
        <v>1202531.5789473683</v>
      </c>
      <c r="G20" s="2"/>
      <c r="H20" s="2"/>
      <c r="I20" s="2"/>
    </row>
    <row r="21" spans="1:9">
      <c r="A21" s="1">
        <f t="shared" si="5"/>
        <v>200</v>
      </c>
      <c r="B21" s="1">
        <f t="shared" si="0"/>
        <v>6</v>
      </c>
      <c r="C21" s="1">
        <f t="shared" si="1"/>
        <v>600</v>
      </c>
      <c r="D21" s="1">
        <f t="shared" si="2"/>
        <v>2000</v>
      </c>
      <c r="E21" s="1">
        <f t="shared" si="3"/>
        <v>2600</v>
      </c>
      <c r="F21" s="1">
        <f t="shared" si="4"/>
        <v>1202600</v>
      </c>
      <c r="G21" s="2"/>
      <c r="H21" s="2"/>
      <c r="I21" s="2"/>
    </row>
    <row r="22" spans="1:9">
      <c r="A22" s="1">
        <f t="shared" si="5"/>
        <v>210</v>
      </c>
      <c r="B22" s="1">
        <f t="shared" si="0"/>
        <v>5.7142857142857144</v>
      </c>
      <c r="C22" s="1">
        <f t="shared" si="1"/>
        <v>571.42857142857144</v>
      </c>
      <c r="D22" s="1">
        <f t="shared" si="2"/>
        <v>2100</v>
      </c>
      <c r="E22" s="1">
        <f t="shared" si="3"/>
        <v>2671.4285714285716</v>
      </c>
      <c r="F22" s="1">
        <f t="shared" si="4"/>
        <v>1202671.4285714286</v>
      </c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</sheetData>
  <conditionalFormatting sqref="E2:F22">
    <cfRule type="cellIs" dxfId="5" priority="5" operator="notBetween">
      <formula>E2</formula>
      <formula>E4</formula>
    </cfRule>
  </conditionalFormatting>
  <conditionalFormatting sqref="A2:F22">
    <cfRule type="expression" dxfId="4" priority="4">
      <formula>"AND(E4&lt;=e3,e4&gt;e5)"</formula>
    </cfRule>
  </conditionalFormatting>
  <conditionalFormatting sqref="E11:F11">
    <cfRule type="expression" priority="3">
      <formula>AND(E11&lt;=E10,E11&lt;E12)</formula>
    </cfRule>
  </conditionalFormatting>
  <conditionalFormatting sqref="E3:F22">
    <cfRule type="expression" dxfId="3" priority="1">
      <formula>AND(E3&lt;=E2,E3&lt;E4)</formula>
    </cfRule>
    <cfRule type="expression" priority="2">
      <formula>AND(E3&lt;=E2,E3&lt;E4)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zoomScale="85" zoomScaleNormal="85" workbookViewId="0">
      <selection activeCell="C11" sqref="C11"/>
    </sheetView>
  </sheetViews>
  <sheetFormatPr defaultRowHeight="15"/>
  <cols>
    <col min="1" max="1" width="15.5703125" bestFit="1" customWidth="1"/>
    <col min="2" max="2" width="14" bestFit="1" customWidth="1"/>
    <col min="3" max="3" width="17" bestFit="1" customWidth="1"/>
    <col min="4" max="4" width="18.5703125" bestFit="1" customWidth="1"/>
    <col min="5" max="5" width="16.42578125" bestFit="1" customWidth="1"/>
    <col min="8" max="8" width="6.7109375" bestFit="1" customWidth="1"/>
    <col min="10" max="10" width="18.28515625" bestFit="1" customWidth="1"/>
  </cols>
  <sheetData>
    <row r="1" spans="1:11">
      <c r="A1" s="9" t="s">
        <v>14</v>
      </c>
      <c r="B1" s="9" t="s">
        <v>15</v>
      </c>
      <c r="C1" s="9" t="s">
        <v>18</v>
      </c>
      <c r="D1" s="9" t="s">
        <v>19</v>
      </c>
      <c r="E1" s="9" t="s">
        <v>17</v>
      </c>
      <c r="J1" t="s">
        <v>10</v>
      </c>
      <c r="K1">
        <v>30</v>
      </c>
    </row>
    <row r="2" spans="1:11">
      <c r="A2" s="8">
        <v>30</v>
      </c>
      <c r="B2" s="11">
        <f>K$3/A2</f>
        <v>300</v>
      </c>
      <c r="C2" s="11">
        <f>B2*K$5</f>
        <v>3000</v>
      </c>
      <c r="D2" s="11">
        <f>(A2/2)*K$6*(1-(K$1/K$4))</f>
        <v>37.5</v>
      </c>
      <c r="E2" s="11">
        <f>C2+D2</f>
        <v>3037.5</v>
      </c>
      <c r="J2" t="s">
        <v>8</v>
      </c>
      <c r="K2">
        <v>300</v>
      </c>
    </row>
    <row r="3" spans="1:11">
      <c r="A3" s="8">
        <f>A2+30</f>
        <v>60</v>
      </c>
      <c r="B3" s="11">
        <f t="shared" ref="B3:B21" si="0">K$3/A3</f>
        <v>150</v>
      </c>
      <c r="C3" s="11">
        <f t="shared" ref="C3:C21" si="1">B3*K$5</f>
        <v>1500</v>
      </c>
      <c r="D3" s="11">
        <f t="shared" ref="D3:D21" si="2">(A3/2)*K$6*(1-(K$1/K$4))</f>
        <v>75</v>
      </c>
      <c r="E3" s="11">
        <f t="shared" ref="E3:E21" si="3">C3+D3</f>
        <v>1575</v>
      </c>
      <c r="J3" t="s">
        <v>11</v>
      </c>
      <c r="K3">
        <f>K2*K1</f>
        <v>9000</v>
      </c>
    </row>
    <row r="4" spans="1:11">
      <c r="A4" s="8">
        <f t="shared" ref="A4:A21" si="4">A3+30</f>
        <v>90</v>
      </c>
      <c r="B4" s="11">
        <f t="shared" si="0"/>
        <v>100</v>
      </c>
      <c r="C4" s="11">
        <f t="shared" si="1"/>
        <v>1000</v>
      </c>
      <c r="D4" s="11">
        <f t="shared" si="2"/>
        <v>112.5</v>
      </c>
      <c r="E4" s="11">
        <f t="shared" si="3"/>
        <v>1112.5</v>
      </c>
      <c r="J4" t="s">
        <v>9</v>
      </c>
      <c r="K4">
        <v>60</v>
      </c>
    </row>
    <row r="5" spans="1:11">
      <c r="A5" s="8">
        <f t="shared" si="4"/>
        <v>120</v>
      </c>
      <c r="B5" s="11">
        <f t="shared" si="0"/>
        <v>75</v>
      </c>
      <c r="C5" s="11">
        <f t="shared" si="1"/>
        <v>750</v>
      </c>
      <c r="D5" s="11">
        <f t="shared" si="2"/>
        <v>150</v>
      </c>
      <c r="E5" s="11">
        <f t="shared" si="3"/>
        <v>900</v>
      </c>
      <c r="J5" t="s">
        <v>12</v>
      </c>
      <c r="K5">
        <v>10</v>
      </c>
    </row>
    <row r="6" spans="1:11">
      <c r="A6" s="8">
        <f t="shared" si="4"/>
        <v>150</v>
      </c>
      <c r="B6" s="11">
        <f t="shared" si="0"/>
        <v>60</v>
      </c>
      <c r="C6" s="11">
        <f t="shared" si="1"/>
        <v>600</v>
      </c>
      <c r="D6" s="11">
        <f t="shared" si="2"/>
        <v>187.5</v>
      </c>
      <c r="E6" s="11">
        <f t="shared" si="3"/>
        <v>787.5</v>
      </c>
      <c r="J6" t="s">
        <v>13</v>
      </c>
      <c r="K6">
        <f>0.25*K7</f>
        <v>5</v>
      </c>
    </row>
    <row r="7" spans="1:11">
      <c r="A7" s="8">
        <f t="shared" si="4"/>
        <v>180</v>
      </c>
      <c r="B7" s="11">
        <f t="shared" si="0"/>
        <v>50</v>
      </c>
      <c r="C7" s="11">
        <f t="shared" si="1"/>
        <v>500</v>
      </c>
      <c r="D7" s="11">
        <f t="shared" si="2"/>
        <v>225</v>
      </c>
      <c r="E7" s="11">
        <f t="shared" si="3"/>
        <v>725</v>
      </c>
      <c r="J7" t="s">
        <v>16</v>
      </c>
      <c r="K7">
        <v>20</v>
      </c>
    </row>
    <row r="8" spans="1:11">
      <c r="A8" s="8">
        <f t="shared" si="4"/>
        <v>210</v>
      </c>
      <c r="B8" s="11">
        <f t="shared" si="0"/>
        <v>42.857142857142854</v>
      </c>
      <c r="C8" s="11">
        <f t="shared" si="1"/>
        <v>428.57142857142856</v>
      </c>
      <c r="D8" s="11">
        <f t="shared" si="2"/>
        <v>262.5</v>
      </c>
      <c r="E8" s="11">
        <f t="shared" si="3"/>
        <v>691.07142857142856</v>
      </c>
      <c r="J8" t="s">
        <v>27</v>
      </c>
      <c r="K8">
        <f>SQRT((2*K3*K5*K4)/(K6*(K4-K1)))</f>
        <v>268.32815729997475</v>
      </c>
    </row>
    <row r="9" spans="1:11">
      <c r="A9" s="8">
        <f t="shared" si="4"/>
        <v>240</v>
      </c>
      <c r="B9" s="11">
        <f t="shared" si="0"/>
        <v>37.5</v>
      </c>
      <c r="C9" s="11">
        <f t="shared" si="1"/>
        <v>375</v>
      </c>
      <c r="D9" s="11">
        <f t="shared" si="2"/>
        <v>300</v>
      </c>
      <c r="E9" s="11">
        <f t="shared" si="3"/>
        <v>675</v>
      </c>
    </row>
    <row r="10" spans="1:11">
      <c r="A10" s="8">
        <f t="shared" si="4"/>
        <v>270</v>
      </c>
      <c r="B10" s="11">
        <f t="shared" si="0"/>
        <v>33.333333333333336</v>
      </c>
      <c r="C10" s="11">
        <f t="shared" si="1"/>
        <v>333.33333333333337</v>
      </c>
      <c r="D10" s="11">
        <f t="shared" si="2"/>
        <v>337.5</v>
      </c>
      <c r="E10" s="11">
        <f t="shared" si="3"/>
        <v>670.83333333333337</v>
      </c>
    </row>
    <row r="11" spans="1:11">
      <c r="A11" s="8">
        <f t="shared" si="4"/>
        <v>300</v>
      </c>
      <c r="B11" s="11">
        <f t="shared" si="0"/>
        <v>30</v>
      </c>
      <c r="C11" s="11">
        <f t="shared" si="1"/>
        <v>300</v>
      </c>
      <c r="D11" s="11">
        <f t="shared" si="2"/>
        <v>375</v>
      </c>
      <c r="E11" s="11">
        <f t="shared" si="3"/>
        <v>675</v>
      </c>
    </row>
    <row r="12" spans="1:11">
      <c r="A12" s="8">
        <f t="shared" si="4"/>
        <v>330</v>
      </c>
      <c r="B12" s="11">
        <f t="shared" si="0"/>
        <v>27.272727272727273</v>
      </c>
      <c r="C12" s="11">
        <f t="shared" si="1"/>
        <v>272.72727272727275</v>
      </c>
      <c r="D12" s="11">
        <f t="shared" si="2"/>
        <v>412.5</v>
      </c>
      <c r="E12" s="11">
        <f t="shared" si="3"/>
        <v>685.22727272727275</v>
      </c>
    </row>
    <row r="13" spans="1:11">
      <c r="A13" s="8">
        <f t="shared" si="4"/>
        <v>360</v>
      </c>
      <c r="B13" s="11">
        <f t="shared" si="0"/>
        <v>25</v>
      </c>
      <c r="C13" s="11">
        <f t="shared" si="1"/>
        <v>250</v>
      </c>
      <c r="D13" s="11">
        <f t="shared" si="2"/>
        <v>450</v>
      </c>
      <c r="E13" s="11">
        <f t="shared" si="3"/>
        <v>700</v>
      </c>
    </row>
    <row r="14" spans="1:11">
      <c r="A14" s="8">
        <f t="shared" si="4"/>
        <v>390</v>
      </c>
      <c r="B14" s="11">
        <f t="shared" si="0"/>
        <v>23.076923076923077</v>
      </c>
      <c r="C14" s="11">
        <f t="shared" si="1"/>
        <v>230.76923076923077</v>
      </c>
      <c r="D14" s="11">
        <f t="shared" si="2"/>
        <v>487.5</v>
      </c>
      <c r="E14" s="11">
        <f t="shared" si="3"/>
        <v>718.26923076923072</v>
      </c>
    </row>
    <row r="15" spans="1:11">
      <c r="A15" s="8">
        <f t="shared" si="4"/>
        <v>420</v>
      </c>
      <c r="B15" s="11">
        <f t="shared" si="0"/>
        <v>21.428571428571427</v>
      </c>
      <c r="C15" s="11">
        <f t="shared" si="1"/>
        <v>214.28571428571428</v>
      </c>
      <c r="D15" s="11">
        <f t="shared" si="2"/>
        <v>525</v>
      </c>
      <c r="E15" s="11">
        <f t="shared" si="3"/>
        <v>739.28571428571422</v>
      </c>
    </row>
    <row r="16" spans="1:11">
      <c r="A16" s="8">
        <f t="shared" si="4"/>
        <v>450</v>
      </c>
      <c r="B16" s="11">
        <f t="shared" si="0"/>
        <v>20</v>
      </c>
      <c r="C16" s="11">
        <f t="shared" si="1"/>
        <v>200</v>
      </c>
      <c r="D16" s="11">
        <f t="shared" si="2"/>
        <v>562.5</v>
      </c>
      <c r="E16" s="11">
        <f t="shared" si="3"/>
        <v>762.5</v>
      </c>
    </row>
    <row r="17" spans="1:5">
      <c r="A17" s="8">
        <f t="shared" si="4"/>
        <v>480</v>
      </c>
      <c r="B17" s="11">
        <f t="shared" si="0"/>
        <v>18.75</v>
      </c>
      <c r="C17" s="11">
        <f t="shared" si="1"/>
        <v>187.5</v>
      </c>
      <c r="D17" s="11">
        <f t="shared" si="2"/>
        <v>600</v>
      </c>
      <c r="E17" s="11">
        <f t="shared" si="3"/>
        <v>787.5</v>
      </c>
    </row>
    <row r="18" spans="1:5">
      <c r="A18" s="8">
        <f t="shared" si="4"/>
        <v>510</v>
      </c>
      <c r="B18" s="11">
        <f t="shared" si="0"/>
        <v>17.647058823529413</v>
      </c>
      <c r="C18" s="11">
        <f t="shared" si="1"/>
        <v>176.47058823529414</v>
      </c>
      <c r="D18" s="11">
        <f t="shared" si="2"/>
        <v>637.5</v>
      </c>
      <c r="E18" s="11">
        <f t="shared" si="3"/>
        <v>813.97058823529414</v>
      </c>
    </row>
    <row r="19" spans="1:5">
      <c r="A19" s="8">
        <f t="shared" si="4"/>
        <v>540</v>
      </c>
      <c r="B19" s="11">
        <f t="shared" si="0"/>
        <v>16.666666666666668</v>
      </c>
      <c r="C19" s="11">
        <f t="shared" si="1"/>
        <v>166.66666666666669</v>
      </c>
      <c r="D19" s="11">
        <f t="shared" si="2"/>
        <v>675</v>
      </c>
      <c r="E19" s="11">
        <f t="shared" si="3"/>
        <v>841.66666666666674</v>
      </c>
    </row>
    <row r="20" spans="1:5">
      <c r="A20" s="8">
        <f t="shared" si="4"/>
        <v>570</v>
      </c>
      <c r="B20" s="11">
        <f t="shared" si="0"/>
        <v>15.789473684210526</v>
      </c>
      <c r="C20" s="11">
        <f t="shared" si="1"/>
        <v>157.89473684210526</v>
      </c>
      <c r="D20" s="11">
        <f t="shared" si="2"/>
        <v>712.5</v>
      </c>
      <c r="E20" s="11">
        <f t="shared" si="3"/>
        <v>870.3947368421052</v>
      </c>
    </row>
    <row r="21" spans="1:5">
      <c r="A21" s="8">
        <f t="shared" si="4"/>
        <v>600</v>
      </c>
      <c r="B21" s="11">
        <f t="shared" si="0"/>
        <v>15</v>
      </c>
      <c r="C21" s="11">
        <f t="shared" si="1"/>
        <v>150</v>
      </c>
      <c r="D21" s="11">
        <f t="shared" si="2"/>
        <v>750</v>
      </c>
      <c r="E21" s="11">
        <f t="shared" si="3"/>
        <v>900</v>
      </c>
    </row>
    <row r="22" spans="1:5">
      <c r="A22" s="7"/>
      <c r="B22" s="7"/>
      <c r="C22" s="7"/>
      <c r="D22" s="7"/>
      <c r="E22" s="7"/>
    </row>
  </sheetData>
  <conditionalFormatting sqref="E2:E21">
    <cfRule type="cellIs" dxfId="2" priority="5" operator="notBetween">
      <formula>E2</formula>
      <formula>E4</formula>
    </cfRule>
  </conditionalFormatting>
  <conditionalFormatting sqref="A2:E21">
    <cfRule type="expression" dxfId="1" priority="4">
      <formula>"AND(E4&lt;=e3,e4&gt;e5)"</formula>
    </cfRule>
  </conditionalFormatting>
  <conditionalFormatting sqref="E11">
    <cfRule type="expression" priority="3">
      <formula>AND(E11&lt;=E10,E11&lt;E12)</formula>
    </cfRule>
  </conditionalFormatting>
  <conditionalFormatting sqref="E3:E21">
    <cfRule type="expression" dxfId="0" priority="1">
      <formula>AND(E3&lt;=E2,E3&lt;E4)</formula>
    </cfRule>
    <cfRule type="expression" priority="2">
      <formula>AND(E3&lt;=E2,E3&lt;E4)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EOQ1</vt:lpstr>
      <vt:lpstr>EOQ2</vt:lpstr>
      <vt:lpstr>EPQ_1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 M</dc:creator>
  <cp:lastModifiedBy>PKN</cp:lastModifiedBy>
  <dcterms:created xsi:type="dcterms:W3CDTF">2023-03-19T03:55:38Z</dcterms:created>
  <dcterms:modified xsi:type="dcterms:W3CDTF">2023-04-03T02:03:47Z</dcterms:modified>
</cp:coreProperties>
</file>