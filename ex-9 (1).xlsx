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9495" windowHeight="7950" activeTab="1"/>
  </bookViews>
  <sheets>
    <sheet name="Q1" sheetId="1" r:id="rId1"/>
    <sheet name="Q2" sheetId="2" r:id="rId2"/>
  </sheets>
  <calcPr calcId="124519"/>
</workbook>
</file>

<file path=xl/calcChain.xml><?xml version="1.0" encoding="utf-8"?>
<calcChain xmlns="http://schemas.openxmlformats.org/spreadsheetml/2006/main">
  <c r="G18" i="2"/>
  <c r="E18"/>
  <c r="C18"/>
  <c r="G16"/>
  <c r="E16"/>
  <c r="C16"/>
  <c r="E15"/>
  <c r="C15"/>
  <c r="B15"/>
  <c r="G14"/>
  <c r="F14"/>
  <c r="D14"/>
  <c r="C14"/>
  <c r="B14"/>
  <c r="E14"/>
  <c r="B15" i="1"/>
  <c r="B14"/>
  <c r="C14"/>
  <c r="C12"/>
  <c r="G12"/>
  <c r="D12"/>
  <c r="E12"/>
  <c r="F14" s="1"/>
  <c r="F15" s="1"/>
  <c r="F12"/>
  <c r="G13"/>
  <c r="B12"/>
  <c r="I12" s="1"/>
  <c r="G14"/>
  <c r="E14"/>
  <c r="E15" s="1"/>
  <c r="C13"/>
  <c r="D13"/>
  <c r="E13"/>
  <c r="F13"/>
  <c r="G4"/>
  <c r="G3"/>
  <c r="D14" l="1"/>
  <c r="D15" s="1"/>
  <c r="I11"/>
  <c r="C15"/>
  <c r="G15"/>
  <c r="B13"/>
  <c r="I13" s="1"/>
  <c r="I14" l="1"/>
  <c r="I15" l="1"/>
  <c r="B21" s="1"/>
  <c r="B20" l="1"/>
  <c r="B23" s="1"/>
  <c r="B19"/>
  <c r="B22" l="1"/>
</calcChain>
</file>

<file path=xl/sharedStrings.xml><?xml version="1.0" encoding="utf-8"?>
<sst xmlns="http://schemas.openxmlformats.org/spreadsheetml/2006/main" count="56" uniqueCount="47">
  <si>
    <t>July</t>
  </si>
  <si>
    <t>Aug</t>
  </si>
  <si>
    <t>Sep</t>
  </si>
  <si>
    <t>Oct</t>
  </si>
  <si>
    <t>Nov</t>
  </si>
  <si>
    <t>Dec</t>
  </si>
  <si>
    <t>Jan</t>
  </si>
  <si>
    <t>Production units</t>
  </si>
  <si>
    <t>Direct materials per unit</t>
  </si>
  <si>
    <t>Direct wages per unit</t>
  </si>
  <si>
    <t>Factory overheads</t>
  </si>
  <si>
    <t>Estimated sales</t>
  </si>
  <si>
    <t>August</t>
  </si>
  <si>
    <t>Sept</t>
  </si>
  <si>
    <t>jan</t>
  </si>
  <si>
    <t>total</t>
  </si>
  <si>
    <t>Stock at end</t>
  </si>
  <si>
    <t>Stock at begnning</t>
  </si>
  <si>
    <t>Production</t>
  </si>
  <si>
    <t>Direct material</t>
  </si>
  <si>
    <t>Direct wages</t>
  </si>
  <si>
    <t>Total production cost</t>
  </si>
  <si>
    <t>Factory overheads per unit</t>
  </si>
  <si>
    <t>PRODUCTION BUDGET</t>
  </si>
  <si>
    <t>PRODUCTION COST BUDGET</t>
  </si>
  <si>
    <t>Units</t>
  </si>
  <si>
    <t>Materials consumed</t>
  </si>
  <si>
    <t>Budgeted</t>
  </si>
  <si>
    <t>Actual</t>
  </si>
  <si>
    <t>Wages 3 hr per unit 1.5</t>
  </si>
  <si>
    <t>Variable Overhead @ $2 PU</t>
  </si>
  <si>
    <t>Fixed Overheads</t>
  </si>
  <si>
    <t>Total</t>
  </si>
  <si>
    <t>Budget 6 Months, Ending December 2019</t>
  </si>
  <si>
    <t>Actual 6 Months, Ending December 2019</t>
  </si>
  <si>
    <t>Budget 6 Months, Ending June 2020</t>
  </si>
  <si>
    <t>Production level</t>
  </si>
  <si>
    <t>PER UNIT</t>
  </si>
  <si>
    <t>TOTAL</t>
  </si>
  <si>
    <t xml:space="preserve">PER UNIT </t>
  </si>
  <si>
    <t>Prices of material</t>
  </si>
  <si>
    <t>Labor charges</t>
  </si>
  <si>
    <t>Variable Overhead</t>
  </si>
  <si>
    <t>Fixed overhead</t>
  </si>
  <si>
    <t xml:space="preserve">           </t>
  </si>
  <si>
    <t xml:space="preserve">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</si>
  <si>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bv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</si>
</sst>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3C4043"/>
      <name val="Arial"/>
      <family val="2"/>
    </font>
    <font>
      <u/>
      <sz val="11"/>
      <color theme="1"/>
      <name val="Times New Roman"/>
      <family val="1"/>
    </font>
    <font>
      <sz val="12"/>
      <color rgb="FF3C404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3" borderId="1" xfId="0" applyFont="1" applyFill="1" applyBorder="1"/>
    <xf numFmtId="0" fontId="5" fillId="3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4" borderId="1" xfId="0" applyFont="1" applyFill="1" applyBorder="1"/>
    <xf numFmtId="0" fontId="7" fillId="3" borderId="1" xfId="0" applyFont="1" applyFill="1" applyBorder="1"/>
    <xf numFmtId="0" fontId="2" fillId="4" borderId="1" xfId="0" applyFont="1" applyFill="1" applyBorder="1"/>
    <xf numFmtId="0" fontId="8" fillId="3" borderId="1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6" fillId="0" borderId="1" xfId="0" applyFon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3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opLeftCell="A3" zoomScale="85" zoomScaleNormal="85" workbookViewId="0">
      <selection activeCell="A25" sqref="A25"/>
    </sheetView>
  </sheetViews>
  <sheetFormatPr defaultRowHeight="15"/>
  <cols>
    <col min="1" max="1" width="30" customWidth="1"/>
    <col min="2" max="2" width="11.140625" customWidth="1"/>
    <col min="3" max="3" width="12" customWidth="1"/>
    <col min="4" max="4" width="11" customWidth="1"/>
    <col min="5" max="5" width="16.5703125" customWidth="1"/>
    <col min="6" max="7" width="11.140625" customWidth="1"/>
    <col min="8" max="8" width="10" customWidth="1"/>
    <col min="9" max="9" width="11.28515625" customWidth="1"/>
  </cols>
  <sheetData>
    <row r="1" spans="1:9">
      <c r="A1" t="s">
        <v>0</v>
      </c>
      <c r="B1">
        <v>2200</v>
      </c>
      <c r="G1">
        <v>44000</v>
      </c>
    </row>
    <row r="2" spans="1:9" ht="25.5" customHeight="1">
      <c r="A2" t="s">
        <v>1</v>
      </c>
      <c r="B2">
        <v>2200</v>
      </c>
      <c r="E2" s="6" t="s">
        <v>7</v>
      </c>
      <c r="F2">
        <v>44000</v>
      </c>
    </row>
    <row r="3" spans="1:9" ht="39" customHeight="1">
      <c r="A3" t="s">
        <v>2</v>
      </c>
      <c r="B3">
        <v>3400</v>
      </c>
      <c r="E3" s="6" t="s">
        <v>8</v>
      </c>
      <c r="F3">
        <v>10</v>
      </c>
      <c r="G3">
        <f>F2*F3</f>
        <v>440000</v>
      </c>
    </row>
    <row r="4" spans="1:9" ht="27" customHeight="1">
      <c r="A4" t="s">
        <v>3</v>
      </c>
      <c r="B4">
        <v>3800</v>
      </c>
      <c r="E4" s="6" t="s">
        <v>9</v>
      </c>
      <c r="F4">
        <v>4</v>
      </c>
      <c r="G4">
        <f>F4*F2</f>
        <v>176000</v>
      </c>
    </row>
    <row r="5" spans="1:9" ht="30">
      <c r="A5" t="s">
        <v>4</v>
      </c>
      <c r="B5">
        <v>5000</v>
      </c>
      <c r="E5" s="6" t="s">
        <v>10</v>
      </c>
      <c r="F5">
        <v>88</v>
      </c>
    </row>
    <row r="6" spans="1:9">
      <c r="A6" t="s">
        <v>5</v>
      </c>
      <c r="B6">
        <v>4600</v>
      </c>
    </row>
    <row r="7" spans="1:9">
      <c r="A7" t="s">
        <v>6</v>
      </c>
      <c r="B7">
        <v>4000</v>
      </c>
    </row>
    <row r="9" spans="1:9" ht="15.75">
      <c r="A9" s="12" t="s">
        <v>23</v>
      </c>
      <c r="B9" s="12"/>
      <c r="C9" s="12"/>
      <c r="D9" s="12"/>
      <c r="E9" s="12"/>
      <c r="F9" s="12"/>
      <c r="G9" s="12"/>
      <c r="H9" s="12"/>
      <c r="I9" s="12"/>
    </row>
    <row r="10" spans="1:9" ht="15.75">
      <c r="A10" s="2"/>
      <c r="B10" s="2" t="s">
        <v>0</v>
      </c>
      <c r="C10" s="2" t="s">
        <v>12</v>
      </c>
      <c r="D10" s="2" t="s">
        <v>13</v>
      </c>
      <c r="E10" s="2" t="s">
        <v>3</v>
      </c>
      <c r="F10" s="2" t="s">
        <v>4</v>
      </c>
      <c r="G10" s="2" t="s">
        <v>5</v>
      </c>
      <c r="H10" s="2" t="s">
        <v>14</v>
      </c>
      <c r="I10" s="2" t="s">
        <v>15</v>
      </c>
    </row>
    <row r="11" spans="1:9" ht="15.75">
      <c r="A11" s="3" t="s">
        <v>11</v>
      </c>
      <c r="B11" s="4">
        <v>2200</v>
      </c>
      <c r="C11" s="4">
        <v>2200</v>
      </c>
      <c r="D11" s="4">
        <v>3400</v>
      </c>
      <c r="E11" s="4">
        <v>3800</v>
      </c>
      <c r="F11" s="4">
        <v>5000</v>
      </c>
      <c r="G11" s="4">
        <v>4600</v>
      </c>
      <c r="H11" s="4">
        <v>4000</v>
      </c>
      <c r="I11" s="4">
        <f>SUM(B11:G11)</f>
        <v>21200</v>
      </c>
    </row>
    <row r="12" spans="1:9" ht="15.75">
      <c r="A12" s="3" t="s">
        <v>16</v>
      </c>
      <c r="B12" s="4">
        <f>C11/2</f>
        <v>1100</v>
      </c>
      <c r="C12" s="4">
        <f>D11/2</f>
        <v>1700</v>
      </c>
      <c r="D12" s="4">
        <f>E11/2</f>
        <v>1900</v>
      </c>
      <c r="E12" s="4">
        <f t="shared" ref="E12" si="0">F11/2</f>
        <v>2500</v>
      </c>
      <c r="F12" s="4">
        <f>G11/2</f>
        <v>2300</v>
      </c>
      <c r="G12" s="4">
        <f>H11/2</f>
        <v>2000</v>
      </c>
      <c r="H12" s="4"/>
      <c r="I12" s="4">
        <f>SUM(B12:G12)</f>
        <v>11500</v>
      </c>
    </row>
    <row r="13" spans="1:9" ht="15.75">
      <c r="A13" s="3"/>
      <c r="B13" s="4">
        <f>B11+B12</f>
        <v>3300</v>
      </c>
      <c r="C13" s="4">
        <f t="shared" ref="C13:G13" si="1">C11+C12</f>
        <v>3900</v>
      </c>
      <c r="D13" s="4">
        <f t="shared" si="1"/>
        <v>5300</v>
      </c>
      <c r="E13" s="4">
        <f t="shared" si="1"/>
        <v>6300</v>
      </c>
      <c r="F13" s="4">
        <f t="shared" si="1"/>
        <v>7300</v>
      </c>
      <c r="G13" s="4">
        <f t="shared" si="1"/>
        <v>6600</v>
      </c>
      <c r="H13" s="4"/>
      <c r="I13" s="4">
        <f>SUM(B13:H13)</f>
        <v>32700</v>
      </c>
    </row>
    <row r="14" spans="1:9" ht="15.75">
      <c r="A14" s="3" t="s">
        <v>17</v>
      </c>
      <c r="B14" s="4">
        <f>B12</f>
        <v>1100</v>
      </c>
      <c r="C14" s="4">
        <f>B12</f>
        <v>1100</v>
      </c>
      <c r="D14" s="4">
        <f>C12</f>
        <v>1700</v>
      </c>
      <c r="E14" s="4">
        <f>D12</f>
        <v>1900</v>
      </c>
      <c r="F14" s="4">
        <f>E12</f>
        <v>2500</v>
      </c>
      <c r="G14" s="4">
        <f>F12</f>
        <v>2300</v>
      </c>
      <c r="H14" s="4"/>
      <c r="I14" s="4">
        <f>SUM(B14:H14)</f>
        <v>10600</v>
      </c>
    </row>
    <row r="15" spans="1:9" ht="15.75">
      <c r="A15" s="3" t="s">
        <v>18</v>
      </c>
      <c r="B15" s="4">
        <f>B11+B12-B14</f>
        <v>2200</v>
      </c>
      <c r="C15" s="4">
        <f>C11+C12-C14</f>
        <v>2800</v>
      </c>
      <c r="D15" s="4">
        <f t="shared" ref="D15:E15" si="2">D11+D12-D14</f>
        <v>3600</v>
      </c>
      <c r="E15" s="4">
        <f t="shared" si="2"/>
        <v>4400</v>
      </c>
      <c r="F15" s="4">
        <f t="shared" ref="F15" si="3">F11+F12-F14</f>
        <v>4800</v>
      </c>
      <c r="G15" s="4">
        <f t="shared" ref="G15" si="4">G11+G12-G14</f>
        <v>4300</v>
      </c>
      <c r="H15" s="4"/>
      <c r="I15" s="4">
        <f>SUM(B15:H15)</f>
        <v>22100</v>
      </c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3" t="s">
        <v>24</v>
      </c>
      <c r="B18" s="13"/>
      <c r="C18" s="1"/>
      <c r="D18" s="1"/>
      <c r="E18" s="1"/>
      <c r="F18" s="1"/>
      <c r="G18" s="1"/>
      <c r="H18" s="1"/>
      <c r="I18" s="1"/>
    </row>
    <row r="19" spans="1:9" ht="15.75">
      <c r="A19" s="3" t="s">
        <v>19</v>
      </c>
      <c r="B19" s="4">
        <f>F3*I15</f>
        <v>221000</v>
      </c>
      <c r="C19" s="1"/>
      <c r="D19" s="1"/>
      <c r="E19" s="1"/>
      <c r="F19" s="1"/>
      <c r="G19" s="1"/>
      <c r="H19" s="1"/>
      <c r="I19" s="1"/>
    </row>
    <row r="20" spans="1:9" ht="15.75">
      <c r="A20" s="3" t="s">
        <v>20</v>
      </c>
      <c r="B20" s="4">
        <f>F4*I15</f>
        <v>88400</v>
      </c>
      <c r="C20" s="1"/>
      <c r="D20" s="1"/>
      <c r="E20" s="1"/>
      <c r="F20" s="1"/>
      <c r="G20" s="1"/>
      <c r="H20" s="1"/>
      <c r="I20" s="1"/>
    </row>
    <row r="21" spans="1:9" ht="15.75">
      <c r="A21" s="3" t="s">
        <v>10</v>
      </c>
      <c r="B21" s="4">
        <f>I15*2</f>
        <v>44200</v>
      </c>
      <c r="C21" s="1"/>
      <c r="D21" s="1"/>
      <c r="E21" s="1"/>
      <c r="F21" s="1"/>
      <c r="G21" s="1"/>
      <c r="H21" s="1"/>
      <c r="I21" s="1"/>
    </row>
    <row r="22" spans="1:9" ht="15.75">
      <c r="A22" s="3" t="s">
        <v>21</v>
      </c>
      <c r="B22" s="5">
        <f>SUM(B19:B21)</f>
        <v>353600</v>
      </c>
      <c r="C22" s="1"/>
      <c r="D22" s="1"/>
      <c r="E22" s="1"/>
      <c r="F22" s="1"/>
      <c r="G22" s="1"/>
      <c r="H22" s="1"/>
      <c r="I22" s="1"/>
    </row>
    <row r="23" spans="1:9" ht="15.75">
      <c r="A23" s="3" t="s">
        <v>22</v>
      </c>
      <c r="B23" s="4">
        <f>B20/F2</f>
        <v>2.0090909090909093</v>
      </c>
      <c r="C23" s="1"/>
      <c r="D23" s="1"/>
      <c r="E23" s="1"/>
      <c r="F23" s="1"/>
      <c r="G23" s="1"/>
      <c r="H23" s="1"/>
      <c r="I23" s="1"/>
    </row>
    <row r="25" spans="1:9">
      <c r="A25" t="s">
        <v>45</v>
      </c>
    </row>
  </sheetData>
  <mergeCells count="2">
    <mergeCell ref="A9:I9"/>
    <mergeCell ref="A18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tabSelected="1" zoomScale="85" zoomScaleNormal="85" workbookViewId="0">
      <selection activeCell="C24" sqref="C24"/>
    </sheetView>
  </sheetViews>
  <sheetFormatPr defaultRowHeight="15"/>
  <cols>
    <col min="1" max="1" width="27.7109375" bestFit="1" customWidth="1"/>
    <col min="2" max="2" width="13.28515625" customWidth="1"/>
    <col min="3" max="3" width="19.140625" bestFit="1" customWidth="1"/>
    <col min="4" max="4" width="12.7109375" customWidth="1"/>
    <col min="5" max="5" width="18.5703125" customWidth="1"/>
    <col min="6" max="6" width="14.140625" customWidth="1"/>
  </cols>
  <sheetData>
    <row r="1" spans="1:8">
      <c r="A1" s="15"/>
      <c r="B1" s="15"/>
      <c r="C1" s="15" t="s">
        <v>27</v>
      </c>
      <c r="D1" s="15"/>
      <c r="E1" s="15" t="s">
        <v>28</v>
      </c>
    </row>
    <row r="2" spans="1:8">
      <c r="A2" s="15" t="s">
        <v>25</v>
      </c>
      <c r="B2" s="15"/>
      <c r="C2" s="15">
        <v>40000</v>
      </c>
      <c r="D2" s="15"/>
      <c r="E2" s="15">
        <v>50000</v>
      </c>
    </row>
    <row r="3" spans="1:8">
      <c r="A3" s="15" t="s">
        <v>26</v>
      </c>
      <c r="B3" s="15"/>
      <c r="C3" s="15">
        <v>45000</v>
      </c>
      <c r="D3" s="15"/>
      <c r="E3" s="15">
        <v>55000</v>
      </c>
    </row>
    <row r="4" spans="1:8">
      <c r="A4" s="15"/>
      <c r="B4" s="15"/>
      <c r="C4" s="15">
        <v>135000</v>
      </c>
      <c r="D4" s="15"/>
      <c r="E4" s="15">
        <v>190000</v>
      </c>
    </row>
    <row r="5" spans="1:8">
      <c r="A5" s="15" t="s">
        <v>29</v>
      </c>
      <c r="B5" s="15"/>
      <c r="C5" s="15">
        <v>180000</v>
      </c>
      <c r="D5" s="15"/>
      <c r="E5" s="15">
        <v>245000</v>
      </c>
    </row>
    <row r="6" spans="1:8">
      <c r="A6" s="16" t="s">
        <v>30</v>
      </c>
      <c r="B6" s="16"/>
      <c r="C6" s="15">
        <v>80000</v>
      </c>
      <c r="D6" s="15"/>
      <c r="E6" s="15">
        <v>125000</v>
      </c>
    </row>
    <row r="7" spans="1:8">
      <c r="A7" s="16" t="s">
        <v>31</v>
      </c>
      <c r="B7" s="16"/>
      <c r="C7" s="15">
        <v>75000</v>
      </c>
      <c r="D7" s="15"/>
      <c r="E7" s="15">
        <v>1000000</v>
      </c>
    </row>
    <row r="8" spans="1:8">
      <c r="A8" s="15" t="s">
        <v>32</v>
      </c>
      <c r="B8" s="15"/>
      <c r="C8" s="15">
        <v>470000</v>
      </c>
      <c r="D8" s="15"/>
      <c r="E8" s="15">
        <v>660000</v>
      </c>
    </row>
    <row r="10" spans="1:8" ht="15.75" customHeight="1"/>
    <row r="11" spans="1:8" ht="30.75" customHeight="1">
      <c r="A11" s="7"/>
      <c r="B11" s="14" t="s">
        <v>33</v>
      </c>
      <c r="C11" s="14"/>
      <c r="D11" s="14" t="s">
        <v>34</v>
      </c>
      <c r="E11" s="14"/>
      <c r="F11" s="14" t="s">
        <v>35</v>
      </c>
      <c r="G11" s="14"/>
      <c r="H11" t="s">
        <v>46</v>
      </c>
    </row>
    <row r="12" spans="1:8">
      <c r="A12" s="8"/>
      <c r="B12" s="10" t="s">
        <v>37</v>
      </c>
      <c r="C12" s="10" t="s">
        <v>38</v>
      </c>
      <c r="D12" s="10" t="s">
        <v>39</v>
      </c>
      <c r="E12" s="10" t="s">
        <v>38</v>
      </c>
      <c r="F12" s="10" t="s">
        <v>37</v>
      </c>
      <c r="G12" s="10" t="s">
        <v>38</v>
      </c>
    </row>
    <row r="13" spans="1:8" ht="15.75">
      <c r="A13" s="3" t="s">
        <v>36</v>
      </c>
      <c r="B13" s="4"/>
      <c r="C13" s="4">
        <v>40000</v>
      </c>
      <c r="D13" s="4"/>
      <c r="E13" s="4">
        <v>50000</v>
      </c>
      <c r="F13" s="4"/>
      <c r="G13" s="4">
        <v>60000</v>
      </c>
    </row>
    <row r="14" spans="1:8" ht="15.75">
      <c r="A14" s="3" t="s">
        <v>40</v>
      </c>
      <c r="B14" s="4">
        <f>C4/C3</f>
        <v>3</v>
      </c>
      <c r="C14" s="4">
        <f>B14*C3</f>
        <v>135000</v>
      </c>
      <c r="D14" s="4">
        <f>E4/E3</f>
        <v>3.4545454545454546</v>
      </c>
      <c r="E14" s="4">
        <f>D14*E3</f>
        <v>190000</v>
      </c>
      <c r="F14" s="4">
        <f>D14+D14-3</f>
        <v>3.9090909090909092</v>
      </c>
      <c r="G14" s="4">
        <f>65000*F14</f>
        <v>254090.90909090909</v>
      </c>
    </row>
    <row r="15" spans="1:8" ht="15.75">
      <c r="A15" s="3" t="s">
        <v>41</v>
      </c>
      <c r="B15" s="4">
        <f>3 *1.5</f>
        <v>4.5</v>
      </c>
      <c r="C15" s="9">
        <f>C5</f>
        <v>180000</v>
      </c>
      <c r="D15" s="4"/>
      <c r="E15" s="4">
        <f>E5</f>
        <v>245000</v>
      </c>
      <c r="F15" s="4"/>
      <c r="G15" s="4">
        <v>460.72800000000001</v>
      </c>
    </row>
    <row r="16" spans="1:8" ht="15.75">
      <c r="A16" s="11" t="s">
        <v>42</v>
      </c>
      <c r="B16" s="4"/>
      <c r="C16" s="4">
        <f>C6</f>
        <v>80000</v>
      </c>
      <c r="D16" s="4"/>
      <c r="E16" s="4">
        <f>E6</f>
        <v>125000</v>
      </c>
      <c r="F16" s="4"/>
      <c r="G16" s="4">
        <f>2.75*G13</f>
        <v>165000</v>
      </c>
    </row>
    <row r="17" spans="1:7" ht="15.75">
      <c r="A17" s="3" t="s">
        <v>43</v>
      </c>
      <c r="B17" s="4"/>
      <c r="C17" s="4">
        <v>75000</v>
      </c>
      <c r="D17" s="4"/>
      <c r="E17" s="4">
        <v>1000000</v>
      </c>
      <c r="F17" s="17"/>
      <c r="G17" s="4">
        <v>120000</v>
      </c>
    </row>
    <row r="18" spans="1:7" ht="15.75">
      <c r="A18" s="3" t="s">
        <v>32</v>
      </c>
      <c r="B18" s="4"/>
      <c r="C18" s="4">
        <f>SUM(C14:C17)</f>
        <v>470000</v>
      </c>
      <c r="D18" s="4"/>
      <c r="E18" s="4">
        <f>SUM(E14:E17)</f>
        <v>1560000</v>
      </c>
      <c r="F18" s="4"/>
      <c r="G18" s="4">
        <f>SUM(G14:G17)</f>
        <v>539551.63709090906</v>
      </c>
    </row>
    <row r="19" spans="1:7">
      <c r="C19" t="s">
        <v>44</v>
      </c>
    </row>
  </sheetData>
  <mergeCells count="3">
    <mergeCell ref="B11:C11"/>
    <mergeCell ref="D11:E11"/>
    <mergeCell ref="F11:G11"/>
  </mergeCells>
  <pageMargins left="0.7" right="0.7" top="0.75" bottom="0.75" header="0.3" footer="0.3"/>
  <pageSetup orientation="portrait" r:id="rId1"/>
  <ignoredErrors>
    <ignoredError sqref="C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</dc:creator>
  <cp:lastModifiedBy>PKN</cp:lastModifiedBy>
  <dcterms:created xsi:type="dcterms:W3CDTF">2023-04-03T06:37:01Z</dcterms:created>
  <dcterms:modified xsi:type="dcterms:W3CDTF">2023-04-10T07:21:34Z</dcterms:modified>
</cp:coreProperties>
</file>